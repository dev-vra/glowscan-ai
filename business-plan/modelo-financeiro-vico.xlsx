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Anual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Mensal" sheetId="4" state="visible" r:id="rId4"/>
    <sheet xmlns:r="http://schemas.openxmlformats.org/officeDocument/2006/relationships" name="Cenários" sheetId="5" state="visible" r:id="rId5"/>
    <sheet xmlns:r="http://schemas.openxmlformats.org/officeDocument/2006/relationships" name="Fo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.00"/>
    <numFmt numFmtId="165" formatCode="0.0%"/>
    <numFmt numFmtId="166" formatCode="R$ #,##0;[Red]-R$ #,##0"/>
    <numFmt numFmtId="167" formatCode="0.0&quot;x&quot;"/>
    <numFmt numFmtId="168" formatCode="0.0"/>
  </numFmts>
  <fonts count="7">
    <font>
      <name val="Calibri"/>
      <family val="2"/>
      <color theme="1"/>
      <sz val="11"/>
      <scheme val="minor"/>
    </font>
    <font>
      <b val="1"/>
      <color rgb="00B8462F"/>
      <sz val="18"/>
    </font>
    <font>
      <i val="1"/>
      <color rgb="006E5C51"/>
    </font>
    <font>
      <b val="1"/>
      <color rgb="00FFFFFF"/>
    </font>
    <font>
      <b val="1"/>
      <color rgb="002A1B14"/>
    </font>
    <font>
      <b val="1"/>
      <color rgb="00B8462F"/>
      <sz val="16"/>
    </font>
    <font>
      <color rgb="006E5C51"/>
    </font>
  </fonts>
  <fills count="5">
    <fill>
      <patternFill/>
    </fill>
    <fill>
      <patternFill patternType="gray125"/>
    </fill>
    <fill>
      <patternFill patternType="solid">
        <fgColor rgb="00B8462F"/>
      </patternFill>
    </fill>
    <fill>
      <patternFill patternType="solid">
        <fgColor rgb="00FBEDD6"/>
      </patternFill>
    </fill>
    <fill>
      <patternFill patternType="solid">
        <fgColor rgb="00F6EE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4" fillId="0" borderId="0" pivotButton="0" quotePrefix="0" xfId="0"/>
    <xf numFmtId="167" fontId="0" fillId="3" borderId="0" pivotButton="0" quotePrefix="0" xfId="0"/>
    <xf numFmtId="3" fontId="0" fillId="3" borderId="0" pivotButton="0" quotePrefix="0" xfId="0"/>
    <xf numFmtId="0" fontId="5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167" fontId="0" fillId="0" borderId="0" pivotButton="0" quotePrefix="0" xfId="0"/>
    <xf numFmtId="0" fontId="3" fillId="2" borderId="0" applyAlignment="1" pivotButton="0" quotePrefix="0" xfId="0">
      <alignment vertical="center" wrapText="1"/>
    </xf>
    <xf numFmtId="1" fontId="0" fillId="0" borderId="0" pivotButton="0" quotePrefix="0" xfId="0"/>
    <xf numFmtId="1" fontId="0" fillId="4" borderId="0" pivotButton="0" quotePrefix="0" xfId="0"/>
    <xf numFmtId="3" fontId="0" fillId="4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5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viço — Modelo financeiro (cenário base)</t>
        </is>
      </c>
    </row>
    <row r="2">
      <c r="A2" s="2" t="inlineStr">
        <is>
          <t>Células em amarelo são premissas editáveis. Todo o resto é fórmula.</t>
        </is>
      </c>
    </row>
    <row r="4">
      <c r="A4" s="3" t="inlineStr">
        <is>
          <t>Premissa</t>
        </is>
      </c>
      <c r="B4" s="3" t="inlineStr">
        <is>
          <t>Valor</t>
        </is>
      </c>
      <c r="C4" s="3" t="inlineStr">
        <is>
          <t>Fonte / observação</t>
        </is>
      </c>
    </row>
    <row r="5">
      <c r="A5" t="inlineStr">
        <is>
          <t>Preço plano mensal (R$)</t>
        </is>
      </c>
      <c r="B5" s="4" t="n">
        <v>24.9</v>
      </c>
      <c r="C5" s="2" t="inlineStr">
        <is>
          <t>Stripe vico_monthly</t>
        </is>
      </c>
    </row>
    <row r="6">
      <c r="A6" t="inlineStr">
        <is>
          <t>Preço plano anual (R$)</t>
        </is>
      </c>
      <c r="B6" s="4" t="n">
        <v>199</v>
      </c>
      <c r="C6" s="2" t="inlineStr">
        <is>
          <t>Stripe vico_yearly</t>
        </is>
      </c>
    </row>
    <row r="7">
      <c r="A7" t="inlineStr">
        <is>
          <t>Mix de novos assinantes no anual</t>
        </is>
      </c>
      <c r="B7" s="5" t="n">
        <v>0.6</v>
      </c>
      <c r="C7" s="2" t="inlineStr">
        <is>
          <t>Hipótese; anual pré-selecionado no paywall</t>
        </is>
      </c>
    </row>
    <row r="8">
      <c r="A8" t="inlineStr">
        <is>
          <t>Taxa de loja/gateway (média)</t>
        </is>
      </c>
      <c r="B8" s="5" t="n">
        <v>0.1</v>
      </c>
      <c r="C8" s="2" t="inlineStr">
        <is>
          <t>Mix web (Stripe ~4%) e lojas (15% Small Business)</t>
        </is>
      </c>
    </row>
    <row r="9">
      <c r="A9" t="inlineStr">
        <is>
          <t>Impostos sobre receita</t>
        </is>
      </c>
      <c r="B9" s="5" t="n">
        <v>0.11</v>
      </c>
      <c r="C9" s="2" t="inlineStr">
        <is>
          <t>Simples Nacional — validar com contador</t>
        </is>
      </c>
    </row>
    <row r="10">
      <c r="A10" t="inlineStr">
        <is>
          <t>Instalação → teste grátis</t>
        </is>
      </c>
      <c r="B10" s="5" t="n">
        <v>0.12</v>
      </c>
      <c r="C10" s="2" t="inlineStr">
        <is>
          <t>Hipótese; calibrar no beta</t>
        </is>
      </c>
    </row>
    <row r="11">
      <c r="A11" t="inlineStr">
        <is>
          <t>Teste → pagante</t>
        </is>
      </c>
      <c r="B11" s="5" t="n">
        <v>0.4</v>
      </c>
      <c r="C11" s="2" t="inlineStr">
        <is>
          <t>RevenueCat 2025: mediana Saúde &amp; Fitness 39,9%</t>
        </is>
      </c>
    </row>
    <row r="12">
      <c r="A12" t="inlineStr">
        <is>
          <t>Churn mensal (plano mensal)</t>
        </is>
      </c>
      <c r="B12" s="5" t="n">
        <v>0.12</v>
      </c>
      <c r="C12" s="2" t="inlineStr">
        <is>
          <t>Hipótese conservadora para app de consumo</t>
        </is>
      </c>
    </row>
    <row r="13">
      <c r="A13" t="inlineStr">
        <is>
          <t>Renovação do plano anual</t>
        </is>
      </c>
      <c r="B13" s="5" t="n">
        <v>0.35</v>
      </c>
      <c r="C13" s="2" t="inlineStr">
        <is>
          <t>RevenueCat: planos anuais baratos retêm até 36%</t>
        </is>
      </c>
    </row>
    <row r="14">
      <c r="A14" t="inlineStr">
        <is>
          <t>Custo de IA por assinante/mês (R$)</t>
        </is>
      </c>
      <c r="B14" s="4" t="n">
        <v>1.5</v>
      </c>
      <c r="C14" s="2" t="inlineStr">
        <is>
          <t>~8 chamadas de visão/mês; calibrar no AI Gateway</t>
        </is>
      </c>
    </row>
    <row r="15">
      <c r="A15" t="inlineStr">
        <is>
          <t>Ticket estudo patrocinado (R$)</t>
        </is>
      </c>
      <c r="B15" s="6" t="n">
        <v>40000</v>
      </c>
      <c r="C15" s="2" t="inlineStr">
        <is>
          <t>Hipótese B2B</t>
        </is>
      </c>
    </row>
    <row r="16">
      <c r="A16" t="inlineStr">
        <is>
          <t>Ticket painel de tendências (R$/mês)</t>
        </is>
      </c>
      <c r="B16" s="6" t="n">
        <v>8000</v>
      </c>
      <c r="C16" s="2" t="inlineStr">
        <is>
          <t>Hipótese B2B</t>
        </is>
      </c>
    </row>
    <row r="19">
      <c r="A19" s="7" t="inlineStr">
        <is>
          <t>Premissas por ano</t>
        </is>
      </c>
    </row>
    <row r="20">
      <c r="A20" s="3" t="inlineStr">
        <is>
          <t>Item</t>
        </is>
      </c>
      <c r="B20" s="3" t="inlineStr">
        <is>
          <t>Ano 1</t>
        </is>
      </c>
      <c r="C20" s="3" t="inlineStr">
        <is>
          <t>Ano 2</t>
        </is>
      </c>
      <c r="D20" s="3" t="inlineStr">
        <is>
          <t>Ano 3</t>
        </is>
      </c>
      <c r="E20" s="3" t="inlineStr">
        <is>
          <t>Ano 4</t>
        </is>
      </c>
      <c r="F20" s="3" t="inlineStr">
        <is>
          <t>Ano 5</t>
        </is>
      </c>
    </row>
    <row r="21">
      <c r="A21" t="inlineStr">
        <is>
          <t>Custo por instalação paga (R$)</t>
        </is>
      </c>
      <c r="B21" s="4" t="n">
        <v>4</v>
      </c>
      <c r="C21" s="4" t="n">
        <v>4.5</v>
      </c>
      <c r="D21" s="4" t="n">
        <v>5</v>
      </c>
      <c r="E21" s="4" t="n">
        <v>5.5</v>
      </c>
      <c r="F21" s="4" t="n">
        <v>6</v>
      </c>
    </row>
    <row r="22">
      <c r="A22" t="inlineStr">
        <is>
          <t>Marketing (R$/mês)</t>
        </is>
      </c>
      <c r="B22" s="6" t="n">
        <v>25000</v>
      </c>
      <c r="C22" s="6" t="n">
        <v>110000</v>
      </c>
      <c r="D22" s="6" t="n">
        <v>240000</v>
      </c>
      <c r="E22" s="6" t="n">
        <v>380000</v>
      </c>
      <c r="F22" s="6" t="n">
        <v>520000</v>
      </c>
    </row>
    <row r="23">
      <c r="A23" t="inlineStr">
        <is>
          <t>Instalações orgânicas por paga</t>
        </is>
      </c>
      <c r="B23" s="8" t="n">
        <v>0.4</v>
      </c>
      <c r="C23" s="8" t="n">
        <v>0.7</v>
      </c>
      <c r="D23" s="8" t="n">
        <v>1</v>
      </c>
      <c r="E23" s="8" t="n">
        <v>1.2</v>
      </c>
      <c r="F23" s="8" t="n">
        <v>1.4</v>
      </c>
    </row>
    <row r="24">
      <c r="A24" t="inlineStr">
        <is>
          <t>Equipe (R$/mês)</t>
        </is>
      </c>
      <c r="B24" s="6" t="n">
        <v>22000</v>
      </c>
      <c r="C24" s="6" t="n">
        <v>85000</v>
      </c>
      <c r="D24" s="6" t="n">
        <v>170000</v>
      </c>
      <c r="E24" s="6" t="n">
        <v>260000</v>
      </c>
      <c r="F24" s="6" t="n">
        <v>350000</v>
      </c>
    </row>
    <row r="25">
      <c r="A25" t="inlineStr">
        <is>
          <t>Administrativo (R$/mês)</t>
        </is>
      </c>
      <c r="B25" s="6" t="n">
        <v>5000</v>
      </c>
      <c r="C25" s="6" t="n">
        <v>12000</v>
      </c>
      <c r="D25" s="6" t="n">
        <v>20000</v>
      </c>
      <c r="E25" s="6" t="n">
        <v>30000</v>
      </c>
      <c r="F25" s="6" t="n">
        <v>40000</v>
      </c>
    </row>
    <row r="26">
      <c r="A26" t="inlineStr">
        <is>
          <t>Infra e ferramentas (R$/mês)</t>
        </is>
      </c>
      <c r="B26" s="6" t="n">
        <v>1500</v>
      </c>
      <c r="C26" s="6" t="n">
        <v>4000</v>
      </c>
      <c r="D26" s="6" t="n">
        <v>9000</v>
      </c>
      <c r="E26" s="6" t="n">
        <v>15000</v>
      </c>
      <c r="F26" s="6" t="n">
        <v>22000</v>
      </c>
    </row>
    <row r="27">
      <c r="A27" t="inlineStr">
        <is>
          <t>Estudos patrocinados (qtd/ano)</t>
        </is>
      </c>
      <c r="B27" s="9" t="n">
        <v>0</v>
      </c>
      <c r="C27" s="9" t="n">
        <v>4</v>
      </c>
      <c r="D27" s="9" t="n">
        <v>10</v>
      </c>
      <c r="E27" s="9" t="n">
        <v>16</v>
      </c>
      <c r="F27" s="9" t="n">
        <v>24</v>
      </c>
    </row>
    <row r="28">
      <c r="A28" t="inlineStr">
        <is>
          <t>Clientes do painel B2B</t>
        </is>
      </c>
      <c r="B28" s="9" t="n">
        <v>0</v>
      </c>
      <c r="C28" s="9" t="n">
        <v>0</v>
      </c>
      <c r="D28" s="9" t="n">
        <v>3</v>
      </c>
      <c r="E28" s="9" t="n">
        <v>6</v>
      </c>
      <c r="F28" s="9" t="n">
        <v>10</v>
      </c>
    </row>
    <row r="29">
      <c r="A29" t="inlineStr">
        <is>
          <t>Comissão afiliados por assinante (R$/mês)</t>
        </is>
      </c>
      <c r="B29" s="4" t="n">
        <v>0.4</v>
      </c>
      <c r="C29" s="4" t="n">
        <v>0.8</v>
      </c>
      <c r="D29" s="4" t="n">
        <v>1</v>
      </c>
      <c r="E29" s="4" t="n">
        <v>1.2</v>
      </c>
      <c r="F29" s="4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0" t="inlineStr">
        <is>
          <t>Resumo anual</t>
        </is>
      </c>
    </row>
    <row r="3">
      <c r="A3" s="3" t="inlineStr">
        <is>
          <t>Indicador</t>
        </is>
      </c>
      <c r="B3" s="3" t="inlineStr">
        <is>
          <t>Ano 1</t>
        </is>
      </c>
      <c r="C3" s="3" t="inlineStr">
        <is>
          <t>Ano 2</t>
        </is>
      </c>
      <c r="D3" s="3" t="inlineStr">
        <is>
          <t>Ano 3</t>
        </is>
      </c>
      <c r="E3" s="3" t="inlineStr">
        <is>
          <t>Ano 4</t>
        </is>
      </c>
      <c r="F3" s="3" t="inlineStr">
        <is>
          <t>Ano 5</t>
        </is>
      </c>
    </row>
    <row r="4">
      <c r="A4" s="7" t="inlineStr">
        <is>
          <t>Novos assinantes</t>
        </is>
      </c>
      <c r="B4" s="11">
        <f>SUM(Mensal!D2:D13)</f>
        <v/>
      </c>
      <c r="C4" s="11">
        <f>SUM(Mensal!D14:D25)</f>
        <v/>
      </c>
      <c r="D4" s="11">
        <f>SUM(Mensal!D26:D37)</f>
        <v/>
      </c>
      <c r="E4" s="11">
        <f>SUM(Mensal!D38:D49)</f>
        <v/>
      </c>
      <c r="F4" s="11">
        <f>SUM(Mensal!D50:D61)</f>
        <v/>
      </c>
    </row>
    <row r="5">
      <c r="A5" s="7" t="inlineStr">
        <is>
          <t>Assinantes ativos (fim do ano)</t>
        </is>
      </c>
      <c r="B5" s="11">
        <f>Mensal!K13</f>
        <v/>
      </c>
      <c r="C5" s="11">
        <f>Mensal!K25</f>
        <v/>
      </c>
      <c r="D5" s="11">
        <f>Mensal!K37</f>
        <v/>
      </c>
      <c r="E5" s="11">
        <f>Mensal!K49</f>
        <v/>
      </c>
      <c r="F5" s="11">
        <f>Mensal!K61</f>
        <v/>
      </c>
    </row>
    <row r="6">
      <c r="A6" s="7" t="inlineStr">
        <is>
          <t>ARR de assinaturas (fim do ano)</t>
        </is>
      </c>
      <c r="B6" s="12">
        <f>Mensal!L13*12</f>
        <v/>
      </c>
      <c r="C6" s="12">
        <f>Mensal!L25*12</f>
        <v/>
      </c>
      <c r="D6" s="12">
        <f>Mensal!L37*12</f>
        <v/>
      </c>
      <c r="E6" s="12">
        <f>Mensal!L49*12</f>
        <v/>
      </c>
      <c r="F6" s="12">
        <f>Mensal!L61*12</f>
        <v/>
      </c>
    </row>
    <row r="7">
      <c r="A7" s="7" t="inlineStr">
        <is>
          <t>Receita bruta</t>
        </is>
      </c>
      <c r="B7" s="12">
        <f>SUM(Mensal!N2:N13)</f>
        <v/>
      </c>
      <c r="C7" s="12">
        <f>SUM(Mensal!N14:N25)</f>
        <v/>
      </c>
      <c r="D7" s="12">
        <f>SUM(Mensal!N26:N37)</f>
        <v/>
      </c>
      <c r="E7" s="12">
        <f>SUM(Mensal!N38:N49)</f>
        <v/>
      </c>
      <c r="F7" s="12">
        <f>SUM(Mensal!N50:N61)</f>
        <v/>
      </c>
    </row>
    <row r="8">
      <c r="A8" s="13" t="inlineStr">
        <is>
          <t xml:space="preserve">  de assinaturas</t>
        </is>
      </c>
      <c r="B8" s="12">
        <f>SUM(Mensal!L2:L13)</f>
        <v/>
      </c>
      <c r="C8" s="12">
        <f>SUM(Mensal!L14:L25)</f>
        <v/>
      </c>
      <c r="D8" s="12">
        <f>SUM(Mensal!L26:L37)</f>
        <v/>
      </c>
      <c r="E8" s="12">
        <f>SUM(Mensal!L38:L49)</f>
        <v/>
      </c>
      <c r="F8" s="12">
        <f>SUM(Mensal!L50:L61)</f>
        <v/>
      </c>
    </row>
    <row r="9">
      <c r="A9" s="13" t="inlineStr">
        <is>
          <t xml:space="preserve">  B2B (afiliados, estudos, painel)</t>
        </is>
      </c>
      <c r="B9" s="12">
        <f>SUM(Mensal!M2:M13)</f>
        <v/>
      </c>
      <c r="C9" s="12">
        <f>SUM(Mensal!M14:M25)</f>
        <v/>
      </c>
      <c r="D9" s="12">
        <f>SUM(Mensal!M26:M37)</f>
        <v/>
      </c>
      <c r="E9" s="12">
        <f>SUM(Mensal!M38:M49)</f>
        <v/>
      </c>
      <c r="F9" s="12">
        <f>SUM(Mensal!M50:M61)</f>
        <v/>
      </c>
    </row>
    <row r="10">
      <c r="A10" s="7" t="inlineStr">
        <is>
          <t>Receita líquida</t>
        </is>
      </c>
      <c r="B10" s="12">
        <f>SUM(Mensal!Q2:Q13)</f>
        <v/>
      </c>
      <c r="C10" s="12">
        <f>SUM(Mensal!Q14:Q25)</f>
        <v/>
      </c>
      <c r="D10" s="12">
        <f>SUM(Mensal!Q26:Q37)</f>
        <v/>
      </c>
      <c r="E10" s="12">
        <f>SUM(Mensal!Q38:Q49)</f>
        <v/>
      </c>
      <c r="F10" s="12">
        <f>SUM(Mensal!Q50:Q61)</f>
        <v/>
      </c>
    </row>
    <row r="11">
      <c r="A11" s="7" t="inlineStr">
        <is>
          <t>Custo de IA</t>
        </is>
      </c>
      <c r="B11" s="12">
        <f>SUM(Mensal!R2:R13)</f>
        <v/>
      </c>
      <c r="C11" s="12">
        <f>SUM(Mensal!R14:R25)</f>
        <v/>
      </c>
      <c r="D11" s="12">
        <f>SUM(Mensal!R26:R37)</f>
        <v/>
      </c>
      <c r="E11" s="12">
        <f>SUM(Mensal!R38:R49)</f>
        <v/>
      </c>
      <c r="F11" s="12">
        <f>SUM(Mensal!R50:R61)</f>
        <v/>
      </c>
    </row>
    <row r="12">
      <c r="A12" s="7" t="inlineStr">
        <is>
          <t>Marketing</t>
        </is>
      </c>
      <c r="B12" s="12">
        <f>SUM(Mensal!S2:S13)</f>
        <v/>
      </c>
      <c r="C12" s="12">
        <f>SUM(Mensal!S14:S25)</f>
        <v/>
      </c>
      <c r="D12" s="12">
        <f>SUM(Mensal!S26:S37)</f>
        <v/>
      </c>
      <c r="E12" s="12">
        <f>SUM(Mensal!S38:S49)</f>
        <v/>
      </c>
      <c r="F12" s="12">
        <f>SUM(Mensal!S50:S61)</f>
        <v/>
      </c>
    </row>
    <row r="13">
      <c r="A13" s="7" t="inlineStr">
        <is>
          <t>Equipe</t>
        </is>
      </c>
      <c r="B13" s="12">
        <f>SUM(Mensal!T2:T13)</f>
        <v/>
      </c>
      <c r="C13" s="12">
        <f>SUM(Mensal!T14:T25)</f>
        <v/>
      </c>
      <c r="D13" s="12">
        <f>SUM(Mensal!T26:T37)</f>
        <v/>
      </c>
      <c r="E13" s="12">
        <f>SUM(Mensal!T38:T49)</f>
        <v/>
      </c>
      <c r="F13" s="12">
        <f>SUM(Mensal!T50:T61)</f>
        <v/>
      </c>
    </row>
    <row r="14">
      <c r="A14" s="7" t="inlineStr">
        <is>
          <t>Administrativo + infra</t>
        </is>
      </c>
      <c r="B14" s="12">
        <f>SUM(Mensal!U2:V13)</f>
        <v/>
      </c>
      <c r="C14" s="12">
        <f>SUM(Mensal!U14:V25)</f>
        <v/>
      </c>
      <c r="D14" s="12">
        <f>SUM(Mensal!U26:V37)</f>
        <v/>
      </c>
      <c r="E14" s="12">
        <f>SUM(Mensal!U38:V49)</f>
        <v/>
      </c>
      <c r="F14" s="12">
        <f>SUM(Mensal!U50:V61)</f>
        <v/>
      </c>
    </row>
    <row r="15">
      <c r="A15" s="7" t="inlineStr">
        <is>
          <t>EBITDA</t>
        </is>
      </c>
      <c r="B15" s="12">
        <f>SUM(Mensal!W2:W13)</f>
        <v/>
      </c>
      <c r="C15" s="12">
        <f>SUM(Mensal!W14:W25)</f>
        <v/>
      </c>
      <c r="D15" s="12">
        <f>SUM(Mensal!W26:W37)</f>
        <v/>
      </c>
      <c r="E15" s="12">
        <f>SUM(Mensal!W38:W49)</f>
        <v/>
      </c>
      <c r="F15" s="12">
        <f>SUM(Mensal!W50:W61)</f>
        <v/>
      </c>
    </row>
    <row r="16">
      <c r="A16" s="7" t="inlineStr">
        <is>
          <t>Margem EBITDA (s/ receita líquida)</t>
        </is>
      </c>
      <c r="B16" s="14">
        <f>B15/B10</f>
        <v/>
      </c>
      <c r="C16" s="14">
        <f>C15/C10</f>
        <v/>
      </c>
      <c r="D16" s="14">
        <f>D15/D10</f>
        <v/>
      </c>
      <c r="E16" s="14">
        <f>E15/E10</f>
        <v/>
      </c>
      <c r="F16" s="14">
        <f>F15/F10</f>
        <v/>
      </c>
    </row>
    <row r="17">
      <c r="A17" s="7" t="inlineStr">
        <is>
          <t>Caixa acumulado (sem aporte)</t>
        </is>
      </c>
      <c r="B17" s="12">
        <f>Mensal!X13</f>
        <v/>
      </c>
      <c r="C17" s="12">
        <f>Mensal!X25</f>
        <v/>
      </c>
      <c r="D17" s="12">
        <f>Mensal!X37</f>
        <v/>
      </c>
      <c r="E17" s="12">
        <f>Mensal!X49</f>
        <v/>
      </c>
      <c r="F17" s="12">
        <f>Mensal!X61</f>
        <v/>
      </c>
    </row>
    <row r="20">
      <c r="A20" s="7" t="inlineStr">
        <is>
          <t>Necessidade de caixa (pior saldo acumulado)</t>
        </is>
      </c>
      <c r="B20" s="12">
        <f>-MIN(Mensal!X2:X61)</f>
        <v/>
      </c>
    </row>
    <row r="21">
      <c r="A21" t="inlineStr">
        <is>
          <t>Mês do pior saldo</t>
        </is>
      </c>
      <c r="B21">
        <f>MATCH(MIN(Mensal!X2:X61),Mensal!X2:X61,0)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0" t="inlineStr">
        <is>
          <t>Unit economics (por assinante)</t>
        </is>
      </c>
    </row>
    <row r="3">
      <c r="A3" t="inlineStr">
        <is>
          <t>ARPU bruto mensal</t>
        </is>
      </c>
      <c r="B3" s="15">
        <f>Premissas!$B$7*Premissas!$B$6/12+(1-Premissas!$B$7)*Premissas!$B$5</f>
        <v/>
      </c>
    </row>
    <row r="4">
      <c r="A4" t="inlineStr">
        <is>
          <t>ARPU líquido de taxas, impostos e IA</t>
        </is>
      </c>
      <c r="B4" s="15">
        <f>B3*(1-Premissas!$B$8-Premissas!$B$9)-Premissas!$B$14</f>
        <v/>
      </c>
    </row>
    <row r="5">
      <c r="A5" t="inlineStr">
        <is>
          <t>Margem de contribuição</t>
        </is>
      </c>
      <c r="B5" s="14">
        <f>B4/B3</f>
        <v/>
      </c>
    </row>
    <row r="6">
      <c r="A6" t="inlineStr">
        <is>
          <t>Vida média (meses)</t>
        </is>
      </c>
      <c r="B6" s="16">
        <f>(1-Premissas!$B$7)/Premissas!$B$12+Premissas!$B$7*12/(1-Premissas!$B$13)</f>
        <v/>
      </c>
    </row>
    <row r="7">
      <c r="A7" t="inlineStr">
        <is>
          <t>LTV (contribuição na vida)</t>
        </is>
      </c>
      <c r="B7" s="15">
        <f>B4*B6</f>
        <v/>
      </c>
    </row>
    <row r="8">
      <c r="A8" t="inlineStr">
        <is>
          <t>CAC pago — ano 1</t>
        </is>
      </c>
      <c r="B8" s="15">
        <f>Mensal!Y2</f>
        <v/>
      </c>
    </row>
    <row r="9">
      <c r="A9" t="inlineStr">
        <is>
          <t>CAC pago — ano 3</t>
        </is>
      </c>
      <c r="B9" s="15">
        <f>Mensal!Y26</f>
        <v/>
      </c>
    </row>
    <row r="10">
      <c r="A10" t="inlineStr">
        <is>
          <t>LTV / CAC pago — ano 1</t>
        </is>
      </c>
      <c r="B10" s="17">
        <f>B7/B8</f>
        <v/>
      </c>
    </row>
    <row r="11">
      <c r="A11" t="inlineStr">
        <is>
          <t>Payback do CAC pago — ano 1 (meses)</t>
        </is>
      </c>
      <c r="B11" s="16">
        <f>B8/B4</f>
        <v/>
      </c>
    </row>
    <row r="12">
      <c r="A12" t="inlineStr">
        <is>
          <t>CAC misto ano 1 (com orgânico)</t>
        </is>
      </c>
      <c r="B12" s="15">
        <f>B8/(1+INDEX(Premissas!$B$23:$F$23,1,1))</f>
        <v/>
      </c>
    </row>
    <row r="13">
      <c r="A13" t="inlineStr">
        <is>
          <t>LTV / CAC misto — ano 1</t>
        </is>
      </c>
      <c r="B13" s="17">
        <f>B7/B12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32" customHeight="1">
      <c r="A1" s="18" t="inlineStr">
        <is>
          <t>Mês</t>
        </is>
      </c>
      <c r="B1" s="18" t="inlineStr">
        <is>
          <t>Ano</t>
        </is>
      </c>
      <c r="C1" s="18" t="inlineStr">
        <is>
          <t>Instalações</t>
        </is>
      </c>
      <c r="D1" s="18" t="inlineStr">
        <is>
          <t>Novos assinantes</t>
        </is>
      </c>
      <c r="E1" s="18" t="inlineStr">
        <is>
          <t>Novos mensais</t>
        </is>
      </c>
      <c r="F1" s="18" t="inlineStr">
        <is>
          <t>Novos anuais</t>
        </is>
      </c>
      <c r="G1" s="18" t="inlineStr">
        <is>
          <t>Ativos mensal</t>
        </is>
      </c>
      <c r="H1" s="18" t="inlineStr">
        <is>
          <t>Renovações anuais</t>
        </is>
      </c>
      <c r="I1" s="18" t="inlineStr">
        <is>
          <t>Inícios anuais</t>
        </is>
      </c>
      <c r="J1" s="18" t="inlineStr">
        <is>
          <t>Ativos anual</t>
        </is>
      </c>
      <c r="K1" s="18" t="inlineStr">
        <is>
          <t>Assinantes ativos</t>
        </is>
      </c>
      <c r="L1" s="18" t="inlineStr">
        <is>
          <t>Receita assinaturas</t>
        </is>
      </c>
      <c r="M1" s="18" t="inlineStr">
        <is>
          <t>Receita B2B</t>
        </is>
      </c>
      <c r="N1" s="18" t="inlineStr">
        <is>
          <t>Receita bruta</t>
        </is>
      </c>
      <c r="O1" s="18" t="inlineStr">
        <is>
          <t>Taxas de loja</t>
        </is>
      </c>
      <c r="P1" s="18" t="inlineStr">
        <is>
          <t>Impostos</t>
        </is>
      </c>
      <c r="Q1" s="18" t="inlineStr">
        <is>
          <t>Receita líquida</t>
        </is>
      </c>
      <c r="R1" s="18" t="inlineStr">
        <is>
          <t>Custo IA</t>
        </is>
      </c>
      <c r="S1" s="18" t="inlineStr">
        <is>
          <t>Marketing</t>
        </is>
      </c>
      <c r="T1" s="18" t="inlineStr">
        <is>
          <t>Equipe</t>
        </is>
      </c>
      <c r="U1" s="18" t="inlineStr">
        <is>
          <t>Administrativo</t>
        </is>
      </c>
      <c r="V1" s="18" t="inlineStr">
        <is>
          <t>Infra</t>
        </is>
      </c>
      <c r="W1" s="18" t="inlineStr">
        <is>
          <t>EBITDA</t>
        </is>
      </c>
      <c r="X1" s="18" t="inlineStr">
        <is>
          <t>Caixa acumulado</t>
        </is>
      </c>
      <c r="Y1" s="18" t="inlineStr">
        <is>
          <t>CAC pago</t>
        </is>
      </c>
    </row>
    <row r="2">
      <c r="A2" s="19" t="n">
        <v>1</v>
      </c>
      <c r="B2" s="19">
        <f>INT((A2-1)/12)+1</f>
        <v/>
      </c>
      <c r="C2" s="11">
        <f>INDEX(Premissas!$B$22:$F$22,1,B2)/INDEX(Premissas!$B$21:$F$21,1,B2)*(1+INDEX(Premissas!$B$23:$F$23,1,B2))</f>
        <v/>
      </c>
      <c r="D2" s="11">
        <f>C2*Premissas!$B$10*Premissas!$B$11</f>
        <v/>
      </c>
      <c r="E2" s="11">
        <f>D2*(1-Premissas!$B$7)</f>
        <v/>
      </c>
      <c r="F2" s="11">
        <f>D2*Premissas!$B$7</f>
        <v/>
      </c>
      <c r="G2" s="11">
        <f>0*(1-Premissas!$B$12)+E2</f>
        <v/>
      </c>
      <c r="H2" s="11" t="n">
        <v>0</v>
      </c>
      <c r="I2" s="11">
        <f>F2+H2</f>
        <v/>
      </c>
      <c r="J2" s="11">
        <f>SUM(I2:I2)</f>
        <v/>
      </c>
      <c r="K2" s="11">
        <f>G2+J2</f>
        <v/>
      </c>
      <c r="L2" s="12">
        <f>G2*Premissas!$B$5+J2*Premissas!$B$6/12</f>
        <v/>
      </c>
      <c r="M2" s="12">
        <f>K2*INDEX(Premissas!$B$29:$F$29,1,B2)+INDEX(Premissas!$B$27:$F$27,1,B2)*Premissas!$B$15/12+INDEX(Premissas!$B$28:$F$28,1,B2)*Premissas!$B$16</f>
        <v/>
      </c>
      <c r="N2" s="12">
        <f>L2+M2</f>
        <v/>
      </c>
      <c r="O2" s="12">
        <f>L2*Premissas!$B$8</f>
        <v/>
      </c>
      <c r="P2" s="12">
        <f>N2*Premissas!$B$9</f>
        <v/>
      </c>
      <c r="Q2" s="12">
        <f>N2-O2-P2</f>
        <v/>
      </c>
      <c r="R2" s="12">
        <f>K2*Premissas!$B$14</f>
        <v/>
      </c>
      <c r="S2" s="12">
        <f>INDEX(Premissas!$B$22:$F$22,1,B2)</f>
        <v/>
      </c>
      <c r="T2" s="12">
        <f>INDEX(Premissas!$B$24:$F$24,1,B2)</f>
        <v/>
      </c>
      <c r="U2" s="12">
        <f>INDEX(Premissas!$B$25:$F$25,1,B2)</f>
        <v/>
      </c>
      <c r="V2" s="12">
        <f>INDEX(Premissas!$B$26:$F$26,1,B2)</f>
        <v/>
      </c>
      <c r="W2" s="12">
        <f>Q2-R2-S2-T2-U2-V2</f>
        <v/>
      </c>
      <c r="X2" s="12">
        <f>0+W2</f>
        <v/>
      </c>
      <c r="Y2" s="12">
        <f>S2/MAX(S2/INDEX(Premissas!$B$21:$F$21,1,B2)*Premissas!$B$10*Premissas!$B$11,1)</f>
        <v/>
      </c>
    </row>
    <row r="3">
      <c r="A3" s="19" t="n">
        <v>2</v>
      </c>
      <c r="B3" s="19">
        <f>INT((A3-1)/12)+1</f>
        <v/>
      </c>
      <c r="C3" s="11">
        <f>INDEX(Premissas!$B$22:$F$22,1,B3)/INDEX(Premissas!$B$21:$F$21,1,B3)*(1+INDEX(Premissas!$B$23:$F$23,1,B3))</f>
        <v/>
      </c>
      <c r="D3" s="11">
        <f>C3*Premissas!$B$10*Premissas!$B$11</f>
        <v/>
      </c>
      <c r="E3" s="11">
        <f>D3*(1-Premissas!$B$7)</f>
        <v/>
      </c>
      <c r="F3" s="11">
        <f>D3*Premissas!$B$7</f>
        <v/>
      </c>
      <c r="G3" s="11">
        <f>G2*(1-Premissas!$B$12)+E3</f>
        <v/>
      </c>
      <c r="H3" s="11" t="n">
        <v>0</v>
      </c>
      <c r="I3" s="11">
        <f>F3+H3</f>
        <v/>
      </c>
      <c r="J3" s="11">
        <f>SUM(I2:I3)</f>
        <v/>
      </c>
      <c r="K3" s="11">
        <f>G3+J3</f>
        <v/>
      </c>
      <c r="L3" s="12">
        <f>G3*Premissas!$B$5+J3*Premissas!$B$6/12</f>
        <v/>
      </c>
      <c r="M3" s="12">
        <f>K3*INDEX(Premissas!$B$29:$F$29,1,B3)+INDEX(Premissas!$B$27:$F$27,1,B3)*Premissas!$B$15/12+INDEX(Premissas!$B$28:$F$28,1,B3)*Premissas!$B$16</f>
        <v/>
      </c>
      <c r="N3" s="12">
        <f>L3+M3</f>
        <v/>
      </c>
      <c r="O3" s="12">
        <f>L3*Premissas!$B$8</f>
        <v/>
      </c>
      <c r="P3" s="12">
        <f>N3*Premissas!$B$9</f>
        <v/>
      </c>
      <c r="Q3" s="12">
        <f>N3-O3-P3</f>
        <v/>
      </c>
      <c r="R3" s="12">
        <f>K3*Premissas!$B$14</f>
        <v/>
      </c>
      <c r="S3" s="12">
        <f>INDEX(Premissas!$B$22:$F$22,1,B3)</f>
        <v/>
      </c>
      <c r="T3" s="12">
        <f>INDEX(Premissas!$B$24:$F$24,1,B3)</f>
        <v/>
      </c>
      <c r="U3" s="12">
        <f>INDEX(Premissas!$B$25:$F$25,1,B3)</f>
        <v/>
      </c>
      <c r="V3" s="12">
        <f>INDEX(Premissas!$B$26:$F$26,1,B3)</f>
        <v/>
      </c>
      <c r="W3" s="12">
        <f>Q3-R3-S3-T3-U3-V3</f>
        <v/>
      </c>
      <c r="X3" s="12">
        <f>X2+W3</f>
        <v/>
      </c>
      <c r="Y3" s="12">
        <f>S3/MAX(S3/INDEX(Premissas!$B$21:$F$21,1,B3)*Premissas!$B$10*Premissas!$B$11,1)</f>
        <v/>
      </c>
    </row>
    <row r="4">
      <c r="A4" s="19" t="n">
        <v>3</v>
      </c>
      <c r="B4" s="19">
        <f>INT((A4-1)/12)+1</f>
        <v/>
      </c>
      <c r="C4" s="11">
        <f>INDEX(Premissas!$B$22:$F$22,1,B4)/INDEX(Premissas!$B$21:$F$21,1,B4)*(1+INDEX(Premissas!$B$23:$F$23,1,B4))</f>
        <v/>
      </c>
      <c r="D4" s="11">
        <f>C4*Premissas!$B$10*Premissas!$B$11</f>
        <v/>
      </c>
      <c r="E4" s="11">
        <f>D4*(1-Premissas!$B$7)</f>
        <v/>
      </c>
      <c r="F4" s="11">
        <f>D4*Premissas!$B$7</f>
        <v/>
      </c>
      <c r="G4" s="11">
        <f>G3*(1-Premissas!$B$12)+E4</f>
        <v/>
      </c>
      <c r="H4" s="11" t="n">
        <v>0</v>
      </c>
      <c r="I4" s="11">
        <f>F4+H4</f>
        <v/>
      </c>
      <c r="J4" s="11">
        <f>SUM(I2:I4)</f>
        <v/>
      </c>
      <c r="K4" s="11">
        <f>G4+J4</f>
        <v/>
      </c>
      <c r="L4" s="12">
        <f>G4*Premissas!$B$5+J4*Premissas!$B$6/12</f>
        <v/>
      </c>
      <c r="M4" s="12">
        <f>K4*INDEX(Premissas!$B$29:$F$29,1,B4)+INDEX(Premissas!$B$27:$F$27,1,B4)*Premissas!$B$15/12+INDEX(Premissas!$B$28:$F$28,1,B4)*Premissas!$B$16</f>
        <v/>
      </c>
      <c r="N4" s="12">
        <f>L4+M4</f>
        <v/>
      </c>
      <c r="O4" s="12">
        <f>L4*Premissas!$B$8</f>
        <v/>
      </c>
      <c r="P4" s="12">
        <f>N4*Premissas!$B$9</f>
        <v/>
      </c>
      <c r="Q4" s="12">
        <f>N4-O4-P4</f>
        <v/>
      </c>
      <c r="R4" s="12">
        <f>K4*Premissas!$B$14</f>
        <v/>
      </c>
      <c r="S4" s="12">
        <f>INDEX(Premissas!$B$22:$F$22,1,B4)</f>
        <v/>
      </c>
      <c r="T4" s="12">
        <f>INDEX(Premissas!$B$24:$F$24,1,B4)</f>
        <v/>
      </c>
      <c r="U4" s="12">
        <f>INDEX(Premissas!$B$25:$F$25,1,B4)</f>
        <v/>
      </c>
      <c r="V4" s="12">
        <f>INDEX(Premissas!$B$26:$F$26,1,B4)</f>
        <v/>
      </c>
      <c r="W4" s="12">
        <f>Q4-R4-S4-T4-U4-V4</f>
        <v/>
      </c>
      <c r="X4" s="12">
        <f>X3+W4</f>
        <v/>
      </c>
      <c r="Y4" s="12">
        <f>S4/MAX(S4/INDEX(Premissas!$B$21:$F$21,1,B4)*Premissas!$B$10*Premissas!$B$11,1)</f>
        <v/>
      </c>
    </row>
    <row r="5">
      <c r="A5" s="19" t="n">
        <v>4</v>
      </c>
      <c r="B5" s="19">
        <f>INT((A5-1)/12)+1</f>
        <v/>
      </c>
      <c r="C5" s="11">
        <f>INDEX(Premissas!$B$22:$F$22,1,B5)/INDEX(Premissas!$B$21:$F$21,1,B5)*(1+INDEX(Premissas!$B$23:$F$23,1,B5))</f>
        <v/>
      </c>
      <c r="D5" s="11">
        <f>C5*Premissas!$B$10*Premissas!$B$11</f>
        <v/>
      </c>
      <c r="E5" s="11">
        <f>D5*(1-Premissas!$B$7)</f>
        <v/>
      </c>
      <c r="F5" s="11">
        <f>D5*Premissas!$B$7</f>
        <v/>
      </c>
      <c r="G5" s="11">
        <f>G4*(1-Premissas!$B$12)+E5</f>
        <v/>
      </c>
      <c r="H5" s="11" t="n">
        <v>0</v>
      </c>
      <c r="I5" s="11">
        <f>F5+H5</f>
        <v/>
      </c>
      <c r="J5" s="11">
        <f>SUM(I2:I5)</f>
        <v/>
      </c>
      <c r="K5" s="11">
        <f>G5+J5</f>
        <v/>
      </c>
      <c r="L5" s="12">
        <f>G5*Premissas!$B$5+J5*Premissas!$B$6/12</f>
        <v/>
      </c>
      <c r="M5" s="12">
        <f>K5*INDEX(Premissas!$B$29:$F$29,1,B5)+INDEX(Premissas!$B$27:$F$27,1,B5)*Premissas!$B$15/12+INDEX(Premissas!$B$28:$F$28,1,B5)*Premissas!$B$16</f>
        <v/>
      </c>
      <c r="N5" s="12">
        <f>L5+M5</f>
        <v/>
      </c>
      <c r="O5" s="12">
        <f>L5*Premissas!$B$8</f>
        <v/>
      </c>
      <c r="P5" s="12">
        <f>N5*Premissas!$B$9</f>
        <v/>
      </c>
      <c r="Q5" s="12">
        <f>N5-O5-P5</f>
        <v/>
      </c>
      <c r="R5" s="12">
        <f>K5*Premissas!$B$14</f>
        <v/>
      </c>
      <c r="S5" s="12">
        <f>INDEX(Premissas!$B$22:$F$22,1,B5)</f>
        <v/>
      </c>
      <c r="T5" s="12">
        <f>INDEX(Premissas!$B$24:$F$24,1,B5)</f>
        <v/>
      </c>
      <c r="U5" s="12">
        <f>INDEX(Premissas!$B$25:$F$25,1,B5)</f>
        <v/>
      </c>
      <c r="V5" s="12">
        <f>INDEX(Premissas!$B$26:$F$26,1,B5)</f>
        <v/>
      </c>
      <c r="W5" s="12">
        <f>Q5-R5-S5-T5-U5-V5</f>
        <v/>
      </c>
      <c r="X5" s="12">
        <f>X4+W5</f>
        <v/>
      </c>
      <c r="Y5" s="12">
        <f>S5/MAX(S5/INDEX(Premissas!$B$21:$F$21,1,B5)*Premissas!$B$10*Premissas!$B$11,1)</f>
        <v/>
      </c>
    </row>
    <row r="6">
      <c r="A6" s="19" t="n">
        <v>5</v>
      </c>
      <c r="B6" s="19">
        <f>INT((A6-1)/12)+1</f>
        <v/>
      </c>
      <c r="C6" s="11">
        <f>INDEX(Premissas!$B$22:$F$22,1,B6)/INDEX(Premissas!$B$21:$F$21,1,B6)*(1+INDEX(Premissas!$B$23:$F$23,1,B6))</f>
        <v/>
      </c>
      <c r="D6" s="11">
        <f>C6*Premissas!$B$10*Premissas!$B$11</f>
        <v/>
      </c>
      <c r="E6" s="11">
        <f>D6*(1-Premissas!$B$7)</f>
        <v/>
      </c>
      <c r="F6" s="11">
        <f>D6*Premissas!$B$7</f>
        <v/>
      </c>
      <c r="G6" s="11">
        <f>G5*(1-Premissas!$B$12)+E6</f>
        <v/>
      </c>
      <c r="H6" s="11" t="n">
        <v>0</v>
      </c>
      <c r="I6" s="11">
        <f>F6+H6</f>
        <v/>
      </c>
      <c r="J6" s="11">
        <f>SUM(I2:I6)</f>
        <v/>
      </c>
      <c r="K6" s="11">
        <f>G6+J6</f>
        <v/>
      </c>
      <c r="L6" s="12">
        <f>G6*Premissas!$B$5+J6*Premissas!$B$6/12</f>
        <v/>
      </c>
      <c r="M6" s="12">
        <f>K6*INDEX(Premissas!$B$29:$F$29,1,B6)+INDEX(Premissas!$B$27:$F$27,1,B6)*Premissas!$B$15/12+INDEX(Premissas!$B$28:$F$28,1,B6)*Premissas!$B$16</f>
        <v/>
      </c>
      <c r="N6" s="12">
        <f>L6+M6</f>
        <v/>
      </c>
      <c r="O6" s="12">
        <f>L6*Premissas!$B$8</f>
        <v/>
      </c>
      <c r="P6" s="12">
        <f>N6*Premissas!$B$9</f>
        <v/>
      </c>
      <c r="Q6" s="12">
        <f>N6-O6-P6</f>
        <v/>
      </c>
      <c r="R6" s="12">
        <f>K6*Premissas!$B$14</f>
        <v/>
      </c>
      <c r="S6" s="12">
        <f>INDEX(Premissas!$B$22:$F$22,1,B6)</f>
        <v/>
      </c>
      <c r="T6" s="12">
        <f>INDEX(Premissas!$B$24:$F$24,1,B6)</f>
        <v/>
      </c>
      <c r="U6" s="12">
        <f>INDEX(Premissas!$B$25:$F$25,1,B6)</f>
        <v/>
      </c>
      <c r="V6" s="12">
        <f>INDEX(Premissas!$B$26:$F$26,1,B6)</f>
        <v/>
      </c>
      <c r="W6" s="12">
        <f>Q6-R6-S6-T6-U6-V6</f>
        <v/>
      </c>
      <c r="X6" s="12">
        <f>X5+W6</f>
        <v/>
      </c>
      <c r="Y6" s="12">
        <f>S6/MAX(S6/INDEX(Premissas!$B$21:$F$21,1,B6)*Premissas!$B$10*Premissas!$B$11,1)</f>
        <v/>
      </c>
    </row>
    <row r="7">
      <c r="A7" s="19" t="n">
        <v>6</v>
      </c>
      <c r="B7" s="19">
        <f>INT((A7-1)/12)+1</f>
        <v/>
      </c>
      <c r="C7" s="11">
        <f>INDEX(Premissas!$B$22:$F$22,1,B7)/INDEX(Premissas!$B$21:$F$21,1,B7)*(1+INDEX(Premissas!$B$23:$F$23,1,B7))</f>
        <v/>
      </c>
      <c r="D7" s="11">
        <f>C7*Premissas!$B$10*Premissas!$B$11</f>
        <v/>
      </c>
      <c r="E7" s="11">
        <f>D7*(1-Premissas!$B$7)</f>
        <v/>
      </c>
      <c r="F7" s="11">
        <f>D7*Premissas!$B$7</f>
        <v/>
      </c>
      <c r="G7" s="11">
        <f>G6*(1-Premissas!$B$12)+E7</f>
        <v/>
      </c>
      <c r="H7" s="11" t="n">
        <v>0</v>
      </c>
      <c r="I7" s="11">
        <f>F7+H7</f>
        <v/>
      </c>
      <c r="J7" s="11">
        <f>SUM(I2:I7)</f>
        <v/>
      </c>
      <c r="K7" s="11">
        <f>G7+J7</f>
        <v/>
      </c>
      <c r="L7" s="12">
        <f>G7*Premissas!$B$5+J7*Premissas!$B$6/12</f>
        <v/>
      </c>
      <c r="M7" s="12">
        <f>K7*INDEX(Premissas!$B$29:$F$29,1,B7)+INDEX(Premissas!$B$27:$F$27,1,B7)*Premissas!$B$15/12+INDEX(Premissas!$B$28:$F$28,1,B7)*Premissas!$B$16</f>
        <v/>
      </c>
      <c r="N7" s="12">
        <f>L7+M7</f>
        <v/>
      </c>
      <c r="O7" s="12">
        <f>L7*Premissas!$B$8</f>
        <v/>
      </c>
      <c r="P7" s="12">
        <f>N7*Premissas!$B$9</f>
        <v/>
      </c>
      <c r="Q7" s="12">
        <f>N7-O7-P7</f>
        <v/>
      </c>
      <c r="R7" s="12">
        <f>K7*Premissas!$B$14</f>
        <v/>
      </c>
      <c r="S7" s="12">
        <f>INDEX(Premissas!$B$22:$F$22,1,B7)</f>
        <v/>
      </c>
      <c r="T7" s="12">
        <f>INDEX(Premissas!$B$24:$F$24,1,B7)</f>
        <v/>
      </c>
      <c r="U7" s="12">
        <f>INDEX(Premissas!$B$25:$F$25,1,B7)</f>
        <v/>
      </c>
      <c r="V7" s="12">
        <f>INDEX(Premissas!$B$26:$F$26,1,B7)</f>
        <v/>
      </c>
      <c r="W7" s="12">
        <f>Q7-R7-S7-T7-U7-V7</f>
        <v/>
      </c>
      <c r="X7" s="12">
        <f>X6+W7</f>
        <v/>
      </c>
      <c r="Y7" s="12">
        <f>S7/MAX(S7/INDEX(Premissas!$B$21:$F$21,1,B7)*Premissas!$B$10*Premissas!$B$11,1)</f>
        <v/>
      </c>
    </row>
    <row r="8">
      <c r="A8" s="19" t="n">
        <v>7</v>
      </c>
      <c r="B8" s="19">
        <f>INT((A8-1)/12)+1</f>
        <v/>
      </c>
      <c r="C8" s="11">
        <f>INDEX(Premissas!$B$22:$F$22,1,B8)/INDEX(Premissas!$B$21:$F$21,1,B8)*(1+INDEX(Premissas!$B$23:$F$23,1,B8))</f>
        <v/>
      </c>
      <c r="D8" s="11">
        <f>C8*Premissas!$B$10*Premissas!$B$11</f>
        <v/>
      </c>
      <c r="E8" s="11">
        <f>D8*(1-Premissas!$B$7)</f>
        <v/>
      </c>
      <c r="F8" s="11">
        <f>D8*Premissas!$B$7</f>
        <v/>
      </c>
      <c r="G8" s="11">
        <f>G7*(1-Premissas!$B$12)+E8</f>
        <v/>
      </c>
      <c r="H8" s="11" t="n">
        <v>0</v>
      </c>
      <c r="I8" s="11">
        <f>F8+H8</f>
        <v/>
      </c>
      <c r="J8" s="11">
        <f>SUM(I2:I8)</f>
        <v/>
      </c>
      <c r="K8" s="11">
        <f>G8+J8</f>
        <v/>
      </c>
      <c r="L8" s="12">
        <f>G8*Premissas!$B$5+J8*Premissas!$B$6/12</f>
        <v/>
      </c>
      <c r="M8" s="12">
        <f>K8*INDEX(Premissas!$B$29:$F$29,1,B8)+INDEX(Premissas!$B$27:$F$27,1,B8)*Premissas!$B$15/12+INDEX(Premissas!$B$28:$F$28,1,B8)*Premissas!$B$16</f>
        <v/>
      </c>
      <c r="N8" s="12">
        <f>L8+M8</f>
        <v/>
      </c>
      <c r="O8" s="12">
        <f>L8*Premissas!$B$8</f>
        <v/>
      </c>
      <c r="P8" s="12">
        <f>N8*Premissas!$B$9</f>
        <v/>
      </c>
      <c r="Q8" s="12">
        <f>N8-O8-P8</f>
        <v/>
      </c>
      <c r="R8" s="12">
        <f>K8*Premissas!$B$14</f>
        <v/>
      </c>
      <c r="S8" s="12">
        <f>INDEX(Premissas!$B$22:$F$22,1,B8)</f>
        <v/>
      </c>
      <c r="T8" s="12">
        <f>INDEX(Premissas!$B$24:$F$24,1,B8)</f>
        <v/>
      </c>
      <c r="U8" s="12">
        <f>INDEX(Premissas!$B$25:$F$25,1,B8)</f>
        <v/>
      </c>
      <c r="V8" s="12">
        <f>INDEX(Premissas!$B$26:$F$26,1,B8)</f>
        <v/>
      </c>
      <c r="W8" s="12">
        <f>Q8-R8-S8-T8-U8-V8</f>
        <v/>
      </c>
      <c r="X8" s="12">
        <f>X7+W8</f>
        <v/>
      </c>
      <c r="Y8" s="12">
        <f>S8/MAX(S8/INDEX(Premissas!$B$21:$F$21,1,B8)*Premissas!$B$10*Premissas!$B$11,1)</f>
        <v/>
      </c>
    </row>
    <row r="9">
      <c r="A9" s="19" t="n">
        <v>8</v>
      </c>
      <c r="B9" s="19">
        <f>INT((A9-1)/12)+1</f>
        <v/>
      </c>
      <c r="C9" s="11">
        <f>INDEX(Premissas!$B$22:$F$22,1,B9)/INDEX(Premissas!$B$21:$F$21,1,B9)*(1+INDEX(Premissas!$B$23:$F$23,1,B9))</f>
        <v/>
      </c>
      <c r="D9" s="11">
        <f>C9*Premissas!$B$10*Premissas!$B$11</f>
        <v/>
      </c>
      <c r="E9" s="11">
        <f>D9*(1-Premissas!$B$7)</f>
        <v/>
      </c>
      <c r="F9" s="11">
        <f>D9*Premissas!$B$7</f>
        <v/>
      </c>
      <c r="G9" s="11">
        <f>G8*(1-Premissas!$B$12)+E9</f>
        <v/>
      </c>
      <c r="H9" s="11" t="n">
        <v>0</v>
      </c>
      <c r="I9" s="11">
        <f>F9+H9</f>
        <v/>
      </c>
      <c r="J9" s="11">
        <f>SUM(I2:I9)</f>
        <v/>
      </c>
      <c r="K9" s="11">
        <f>G9+J9</f>
        <v/>
      </c>
      <c r="L9" s="12">
        <f>G9*Premissas!$B$5+J9*Premissas!$B$6/12</f>
        <v/>
      </c>
      <c r="M9" s="12">
        <f>K9*INDEX(Premissas!$B$29:$F$29,1,B9)+INDEX(Premissas!$B$27:$F$27,1,B9)*Premissas!$B$15/12+INDEX(Premissas!$B$28:$F$28,1,B9)*Premissas!$B$16</f>
        <v/>
      </c>
      <c r="N9" s="12">
        <f>L9+M9</f>
        <v/>
      </c>
      <c r="O9" s="12">
        <f>L9*Premissas!$B$8</f>
        <v/>
      </c>
      <c r="P9" s="12">
        <f>N9*Premissas!$B$9</f>
        <v/>
      </c>
      <c r="Q9" s="12">
        <f>N9-O9-P9</f>
        <v/>
      </c>
      <c r="R9" s="12">
        <f>K9*Premissas!$B$14</f>
        <v/>
      </c>
      <c r="S9" s="12">
        <f>INDEX(Premissas!$B$22:$F$22,1,B9)</f>
        <v/>
      </c>
      <c r="T9" s="12">
        <f>INDEX(Premissas!$B$24:$F$24,1,B9)</f>
        <v/>
      </c>
      <c r="U9" s="12">
        <f>INDEX(Premissas!$B$25:$F$25,1,B9)</f>
        <v/>
      </c>
      <c r="V9" s="12">
        <f>INDEX(Premissas!$B$26:$F$26,1,B9)</f>
        <v/>
      </c>
      <c r="W9" s="12">
        <f>Q9-R9-S9-T9-U9-V9</f>
        <v/>
      </c>
      <c r="X9" s="12">
        <f>X8+W9</f>
        <v/>
      </c>
      <c r="Y9" s="12">
        <f>S9/MAX(S9/INDEX(Premissas!$B$21:$F$21,1,B9)*Premissas!$B$10*Premissas!$B$11,1)</f>
        <v/>
      </c>
    </row>
    <row r="10">
      <c r="A10" s="19" t="n">
        <v>9</v>
      </c>
      <c r="B10" s="19">
        <f>INT((A10-1)/12)+1</f>
        <v/>
      </c>
      <c r="C10" s="11">
        <f>INDEX(Premissas!$B$22:$F$22,1,B10)/INDEX(Premissas!$B$21:$F$21,1,B10)*(1+INDEX(Premissas!$B$23:$F$23,1,B10))</f>
        <v/>
      </c>
      <c r="D10" s="11">
        <f>C10*Premissas!$B$10*Premissas!$B$11</f>
        <v/>
      </c>
      <c r="E10" s="11">
        <f>D10*(1-Premissas!$B$7)</f>
        <v/>
      </c>
      <c r="F10" s="11">
        <f>D10*Premissas!$B$7</f>
        <v/>
      </c>
      <c r="G10" s="11">
        <f>G9*(1-Premissas!$B$12)+E10</f>
        <v/>
      </c>
      <c r="H10" s="11" t="n">
        <v>0</v>
      </c>
      <c r="I10" s="11">
        <f>F10+H10</f>
        <v/>
      </c>
      <c r="J10" s="11">
        <f>SUM(I2:I10)</f>
        <v/>
      </c>
      <c r="K10" s="11">
        <f>G10+J10</f>
        <v/>
      </c>
      <c r="L10" s="12">
        <f>G10*Premissas!$B$5+J10*Premissas!$B$6/12</f>
        <v/>
      </c>
      <c r="M10" s="12">
        <f>K10*INDEX(Premissas!$B$29:$F$29,1,B10)+INDEX(Premissas!$B$27:$F$27,1,B10)*Premissas!$B$15/12+INDEX(Premissas!$B$28:$F$28,1,B10)*Premissas!$B$16</f>
        <v/>
      </c>
      <c r="N10" s="12">
        <f>L10+M10</f>
        <v/>
      </c>
      <c r="O10" s="12">
        <f>L10*Premissas!$B$8</f>
        <v/>
      </c>
      <c r="P10" s="12">
        <f>N10*Premissas!$B$9</f>
        <v/>
      </c>
      <c r="Q10" s="12">
        <f>N10-O10-P10</f>
        <v/>
      </c>
      <c r="R10" s="12">
        <f>K10*Premissas!$B$14</f>
        <v/>
      </c>
      <c r="S10" s="12">
        <f>INDEX(Premissas!$B$22:$F$22,1,B10)</f>
        <v/>
      </c>
      <c r="T10" s="12">
        <f>INDEX(Premissas!$B$24:$F$24,1,B10)</f>
        <v/>
      </c>
      <c r="U10" s="12">
        <f>INDEX(Premissas!$B$25:$F$25,1,B10)</f>
        <v/>
      </c>
      <c r="V10" s="12">
        <f>INDEX(Premissas!$B$26:$F$26,1,B10)</f>
        <v/>
      </c>
      <c r="W10" s="12">
        <f>Q10-R10-S10-T10-U10-V10</f>
        <v/>
      </c>
      <c r="X10" s="12">
        <f>X9+W10</f>
        <v/>
      </c>
      <c r="Y10" s="12">
        <f>S10/MAX(S10/INDEX(Premissas!$B$21:$F$21,1,B10)*Premissas!$B$10*Premissas!$B$11,1)</f>
        <v/>
      </c>
    </row>
    <row r="11">
      <c r="A11" s="19" t="n">
        <v>10</v>
      </c>
      <c r="B11" s="19">
        <f>INT((A11-1)/12)+1</f>
        <v/>
      </c>
      <c r="C11" s="11">
        <f>INDEX(Premissas!$B$22:$F$22,1,B11)/INDEX(Premissas!$B$21:$F$21,1,B11)*(1+INDEX(Premissas!$B$23:$F$23,1,B11))</f>
        <v/>
      </c>
      <c r="D11" s="11">
        <f>C11*Premissas!$B$10*Premissas!$B$11</f>
        <v/>
      </c>
      <c r="E11" s="11">
        <f>D11*(1-Premissas!$B$7)</f>
        <v/>
      </c>
      <c r="F11" s="11">
        <f>D11*Premissas!$B$7</f>
        <v/>
      </c>
      <c r="G11" s="11">
        <f>G10*(1-Premissas!$B$12)+E11</f>
        <v/>
      </c>
      <c r="H11" s="11" t="n">
        <v>0</v>
      </c>
      <c r="I11" s="11">
        <f>F11+H11</f>
        <v/>
      </c>
      <c r="J11" s="11">
        <f>SUM(I2:I11)</f>
        <v/>
      </c>
      <c r="K11" s="11">
        <f>G11+J11</f>
        <v/>
      </c>
      <c r="L11" s="12">
        <f>G11*Premissas!$B$5+J11*Premissas!$B$6/12</f>
        <v/>
      </c>
      <c r="M11" s="12">
        <f>K11*INDEX(Premissas!$B$29:$F$29,1,B11)+INDEX(Premissas!$B$27:$F$27,1,B11)*Premissas!$B$15/12+INDEX(Premissas!$B$28:$F$28,1,B11)*Premissas!$B$16</f>
        <v/>
      </c>
      <c r="N11" s="12">
        <f>L11+M11</f>
        <v/>
      </c>
      <c r="O11" s="12">
        <f>L11*Premissas!$B$8</f>
        <v/>
      </c>
      <c r="P11" s="12">
        <f>N11*Premissas!$B$9</f>
        <v/>
      </c>
      <c r="Q11" s="12">
        <f>N11-O11-P11</f>
        <v/>
      </c>
      <c r="R11" s="12">
        <f>K11*Premissas!$B$14</f>
        <v/>
      </c>
      <c r="S11" s="12">
        <f>INDEX(Premissas!$B$22:$F$22,1,B11)</f>
        <v/>
      </c>
      <c r="T11" s="12">
        <f>INDEX(Premissas!$B$24:$F$24,1,B11)</f>
        <v/>
      </c>
      <c r="U11" s="12">
        <f>INDEX(Premissas!$B$25:$F$25,1,B11)</f>
        <v/>
      </c>
      <c r="V11" s="12">
        <f>INDEX(Premissas!$B$26:$F$26,1,B11)</f>
        <v/>
      </c>
      <c r="W11" s="12">
        <f>Q11-R11-S11-T11-U11-V11</f>
        <v/>
      </c>
      <c r="X11" s="12">
        <f>X10+W11</f>
        <v/>
      </c>
      <c r="Y11" s="12">
        <f>S11/MAX(S11/INDEX(Premissas!$B$21:$F$21,1,B11)*Premissas!$B$10*Premissas!$B$11,1)</f>
        <v/>
      </c>
    </row>
    <row r="12">
      <c r="A12" s="19" t="n">
        <v>11</v>
      </c>
      <c r="B12" s="19">
        <f>INT((A12-1)/12)+1</f>
        <v/>
      </c>
      <c r="C12" s="11">
        <f>INDEX(Premissas!$B$22:$F$22,1,B12)/INDEX(Premissas!$B$21:$F$21,1,B12)*(1+INDEX(Premissas!$B$23:$F$23,1,B12))</f>
        <v/>
      </c>
      <c r="D12" s="11">
        <f>C12*Premissas!$B$10*Premissas!$B$11</f>
        <v/>
      </c>
      <c r="E12" s="11">
        <f>D12*(1-Premissas!$B$7)</f>
        <v/>
      </c>
      <c r="F12" s="11">
        <f>D12*Premissas!$B$7</f>
        <v/>
      </c>
      <c r="G12" s="11">
        <f>G11*(1-Premissas!$B$12)+E12</f>
        <v/>
      </c>
      <c r="H12" s="11" t="n">
        <v>0</v>
      </c>
      <c r="I12" s="11">
        <f>F12+H12</f>
        <v/>
      </c>
      <c r="J12" s="11">
        <f>SUM(I2:I12)</f>
        <v/>
      </c>
      <c r="K12" s="11">
        <f>G12+J12</f>
        <v/>
      </c>
      <c r="L12" s="12">
        <f>G12*Premissas!$B$5+J12*Premissas!$B$6/12</f>
        <v/>
      </c>
      <c r="M12" s="12">
        <f>K12*INDEX(Premissas!$B$29:$F$29,1,B12)+INDEX(Premissas!$B$27:$F$27,1,B12)*Premissas!$B$15/12+INDEX(Premissas!$B$28:$F$28,1,B12)*Premissas!$B$16</f>
        <v/>
      </c>
      <c r="N12" s="12">
        <f>L12+M12</f>
        <v/>
      </c>
      <c r="O12" s="12">
        <f>L12*Premissas!$B$8</f>
        <v/>
      </c>
      <c r="P12" s="12">
        <f>N12*Premissas!$B$9</f>
        <v/>
      </c>
      <c r="Q12" s="12">
        <f>N12-O12-P12</f>
        <v/>
      </c>
      <c r="R12" s="12">
        <f>K12*Premissas!$B$14</f>
        <v/>
      </c>
      <c r="S12" s="12">
        <f>INDEX(Premissas!$B$22:$F$22,1,B12)</f>
        <v/>
      </c>
      <c r="T12" s="12">
        <f>INDEX(Premissas!$B$24:$F$24,1,B12)</f>
        <v/>
      </c>
      <c r="U12" s="12">
        <f>INDEX(Premissas!$B$25:$F$25,1,B12)</f>
        <v/>
      </c>
      <c r="V12" s="12">
        <f>INDEX(Premissas!$B$26:$F$26,1,B12)</f>
        <v/>
      </c>
      <c r="W12" s="12">
        <f>Q12-R12-S12-T12-U12-V12</f>
        <v/>
      </c>
      <c r="X12" s="12">
        <f>X11+W12</f>
        <v/>
      </c>
      <c r="Y12" s="12">
        <f>S12/MAX(S12/INDEX(Premissas!$B$21:$F$21,1,B12)*Premissas!$B$10*Premissas!$B$11,1)</f>
        <v/>
      </c>
    </row>
    <row r="13">
      <c r="A13" s="20" t="n">
        <v>12</v>
      </c>
      <c r="B13" s="20">
        <f>INT((A13-1)/12)+1</f>
        <v/>
      </c>
      <c r="C13" s="21">
        <f>INDEX(Premissas!$B$22:$F$22,1,B13)/INDEX(Premissas!$B$21:$F$21,1,B13)*(1+INDEX(Premissas!$B$23:$F$23,1,B13))</f>
        <v/>
      </c>
      <c r="D13" s="21">
        <f>C13*Premissas!$B$10*Premissas!$B$11</f>
        <v/>
      </c>
      <c r="E13" s="21">
        <f>D13*(1-Premissas!$B$7)</f>
        <v/>
      </c>
      <c r="F13" s="21">
        <f>D13*Premissas!$B$7</f>
        <v/>
      </c>
      <c r="G13" s="21">
        <f>G12*(1-Premissas!$B$12)+E13</f>
        <v/>
      </c>
      <c r="H13" s="21" t="n">
        <v>0</v>
      </c>
      <c r="I13" s="21">
        <f>F13+H13</f>
        <v/>
      </c>
      <c r="J13" s="21">
        <f>SUM(I2:I13)</f>
        <v/>
      </c>
      <c r="K13" s="21">
        <f>G13+J13</f>
        <v/>
      </c>
      <c r="L13" s="22">
        <f>G13*Premissas!$B$5+J13*Premissas!$B$6/12</f>
        <v/>
      </c>
      <c r="M13" s="22">
        <f>K13*INDEX(Premissas!$B$29:$F$29,1,B13)+INDEX(Premissas!$B$27:$F$27,1,B13)*Premissas!$B$15/12+INDEX(Premissas!$B$28:$F$28,1,B13)*Premissas!$B$16</f>
        <v/>
      </c>
      <c r="N13" s="22">
        <f>L13+M13</f>
        <v/>
      </c>
      <c r="O13" s="22">
        <f>L13*Premissas!$B$8</f>
        <v/>
      </c>
      <c r="P13" s="22">
        <f>N13*Premissas!$B$9</f>
        <v/>
      </c>
      <c r="Q13" s="22">
        <f>N13-O13-P13</f>
        <v/>
      </c>
      <c r="R13" s="22">
        <f>K13*Premissas!$B$14</f>
        <v/>
      </c>
      <c r="S13" s="22">
        <f>INDEX(Premissas!$B$22:$F$22,1,B13)</f>
        <v/>
      </c>
      <c r="T13" s="22">
        <f>INDEX(Premissas!$B$24:$F$24,1,B13)</f>
        <v/>
      </c>
      <c r="U13" s="22">
        <f>INDEX(Premissas!$B$25:$F$25,1,B13)</f>
        <v/>
      </c>
      <c r="V13" s="22">
        <f>INDEX(Premissas!$B$26:$F$26,1,B13)</f>
        <v/>
      </c>
      <c r="W13" s="22">
        <f>Q13-R13-S13-T13-U13-V13</f>
        <v/>
      </c>
      <c r="X13" s="22">
        <f>X12+W13</f>
        <v/>
      </c>
      <c r="Y13" s="22">
        <f>S13/MAX(S13/INDEX(Premissas!$B$21:$F$21,1,B13)*Premissas!$B$10*Premissas!$B$11,1)</f>
        <v/>
      </c>
    </row>
    <row r="14">
      <c r="A14" s="19" t="n">
        <v>13</v>
      </c>
      <c r="B14" s="19">
        <f>INT((A14-1)/12)+1</f>
        <v/>
      </c>
      <c r="C14" s="11">
        <f>INDEX(Premissas!$B$22:$F$22,1,B14)/INDEX(Premissas!$B$21:$F$21,1,B14)*(1+INDEX(Premissas!$B$23:$F$23,1,B14))</f>
        <v/>
      </c>
      <c r="D14" s="11">
        <f>C14*Premissas!$B$10*Premissas!$B$11</f>
        <v/>
      </c>
      <c r="E14" s="11">
        <f>D14*(1-Premissas!$B$7)</f>
        <v/>
      </c>
      <c r="F14" s="11">
        <f>D14*Premissas!$B$7</f>
        <v/>
      </c>
      <c r="G14" s="11">
        <f>G13*(1-Premissas!$B$12)+E14</f>
        <v/>
      </c>
      <c r="H14" s="11">
        <f>I2*Premissas!$B$13</f>
        <v/>
      </c>
      <c r="I14" s="11">
        <f>F14+H14</f>
        <v/>
      </c>
      <c r="J14" s="11">
        <f>SUM(I3:I14)</f>
        <v/>
      </c>
      <c r="K14" s="11">
        <f>G14+J14</f>
        <v/>
      </c>
      <c r="L14" s="12">
        <f>G14*Premissas!$B$5+J14*Premissas!$B$6/12</f>
        <v/>
      </c>
      <c r="M14" s="12">
        <f>K14*INDEX(Premissas!$B$29:$F$29,1,B14)+INDEX(Premissas!$B$27:$F$27,1,B14)*Premissas!$B$15/12+INDEX(Premissas!$B$28:$F$28,1,B14)*Premissas!$B$16</f>
        <v/>
      </c>
      <c r="N14" s="12">
        <f>L14+M14</f>
        <v/>
      </c>
      <c r="O14" s="12">
        <f>L14*Premissas!$B$8</f>
        <v/>
      </c>
      <c r="P14" s="12">
        <f>N14*Premissas!$B$9</f>
        <v/>
      </c>
      <c r="Q14" s="12">
        <f>N14-O14-P14</f>
        <v/>
      </c>
      <c r="R14" s="12">
        <f>K14*Premissas!$B$14</f>
        <v/>
      </c>
      <c r="S14" s="12">
        <f>INDEX(Premissas!$B$22:$F$22,1,B14)</f>
        <v/>
      </c>
      <c r="T14" s="12">
        <f>INDEX(Premissas!$B$24:$F$24,1,B14)</f>
        <v/>
      </c>
      <c r="U14" s="12">
        <f>INDEX(Premissas!$B$25:$F$25,1,B14)</f>
        <v/>
      </c>
      <c r="V14" s="12">
        <f>INDEX(Premissas!$B$26:$F$26,1,B14)</f>
        <v/>
      </c>
      <c r="W14" s="12">
        <f>Q14-R14-S14-T14-U14-V14</f>
        <v/>
      </c>
      <c r="X14" s="12">
        <f>X13+W14</f>
        <v/>
      </c>
      <c r="Y14" s="12">
        <f>S14/MAX(S14/INDEX(Premissas!$B$21:$F$21,1,B14)*Premissas!$B$10*Premissas!$B$11,1)</f>
        <v/>
      </c>
    </row>
    <row r="15">
      <c r="A15" s="19" t="n">
        <v>14</v>
      </c>
      <c r="B15" s="19">
        <f>INT((A15-1)/12)+1</f>
        <v/>
      </c>
      <c r="C15" s="11">
        <f>INDEX(Premissas!$B$22:$F$22,1,B15)/INDEX(Premissas!$B$21:$F$21,1,B15)*(1+INDEX(Premissas!$B$23:$F$23,1,B15))</f>
        <v/>
      </c>
      <c r="D15" s="11">
        <f>C15*Premissas!$B$10*Premissas!$B$11</f>
        <v/>
      </c>
      <c r="E15" s="11">
        <f>D15*(1-Premissas!$B$7)</f>
        <v/>
      </c>
      <c r="F15" s="11">
        <f>D15*Premissas!$B$7</f>
        <v/>
      </c>
      <c r="G15" s="11">
        <f>G14*(1-Premissas!$B$12)+E15</f>
        <v/>
      </c>
      <c r="H15" s="11">
        <f>I3*Premissas!$B$13</f>
        <v/>
      </c>
      <c r="I15" s="11">
        <f>F15+H15</f>
        <v/>
      </c>
      <c r="J15" s="11">
        <f>SUM(I4:I15)</f>
        <v/>
      </c>
      <c r="K15" s="11">
        <f>G15+J15</f>
        <v/>
      </c>
      <c r="L15" s="12">
        <f>G15*Premissas!$B$5+J15*Premissas!$B$6/12</f>
        <v/>
      </c>
      <c r="M15" s="12">
        <f>K15*INDEX(Premissas!$B$29:$F$29,1,B15)+INDEX(Premissas!$B$27:$F$27,1,B15)*Premissas!$B$15/12+INDEX(Premissas!$B$28:$F$28,1,B15)*Premissas!$B$16</f>
        <v/>
      </c>
      <c r="N15" s="12">
        <f>L15+M15</f>
        <v/>
      </c>
      <c r="O15" s="12">
        <f>L15*Premissas!$B$8</f>
        <v/>
      </c>
      <c r="P15" s="12">
        <f>N15*Premissas!$B$9</f>
        <v/>
      </c>
      <c r="Q15" s="12">
        <f>N15-O15-P15</f>
        <v/>
      </c>
      <c r="R15" s="12">
        <f>K15*Premissas!$B$14</f>
        <v/>
      </c>
      <c r="S15" s="12">
        <f>INDEX(Premissas!$B$22:$F$22,1,B15)</f>
        <v/>
      </c>
      <c r="T15" s="12">
        <f>INDEX(Premissas!$B$24:$F$24,1,B15)</f>
        <v/>
      </c>
      <c r="U15" s="12">
        <f>INDEX(Premissas!$B$25:$F$25,1,B15)</f>
        <v/>
      </c>
      <c r="V15" s="12">
        <f>INDEX(Premissas!$B$26:$F$26,1,B15)</f>
        <v/>
      </c>
      <c r="W15" s="12">
        <f>Q15-R15-S15-T15-U15-V15</f>
        <v/>
      </c>
      <c r="X15" s="12">
        <f>X14+W15</f>
        <v/>
      </c>
      <c r="Y15" s="12">
        <f>S15/MAX(S15/INDEX(Premissas!$B$21:$F$21,1,B15)*Premissas!$B$10*Premissas!$B$11,1)</f>
        <v/>
      </c>
    </row>
    <row r="16">
      <c r="A16" s="19" t="n">
        <v>15</v>
      </c>
      <c r="B16" s="19">
        <f>INT((A16-1)/12)+1</f>
        <v/>
      </c>
      <c r="C16" s="11">
        <f>INDEX(Premissas!$B$22:$F$22,1,B16)/INDEX(Premissas!$B$21:$F$21,1,B16)*(1+INDEX(Premissas!$B$23:$F$23,1,B16))</f>
        <v/>
      </c>
      <c r="D16" s="11">
        <f>C16*Premissas!$B$10*Premissas!$B$11</f>
        <v/>
      </c>
      <c r="E16" s="11">
        <f>D16*(1-Premissas!$B$7)</f>
        <v/>
      </c>
      <c r="F16" s="11">
        <f>D16*Premissas!$B$7</f>
        <v/>
      </c>
      <c r="G16" s="11">
        <f>G15*(1-Premissas!$B$12)+E16</f>
        <v/>
      </c>
      <c r="H16" s="11">
        <f>I4*Premissas!$B$13</f>
        <v/>
      </c>
      <c r="I16" s="11">
        <f>F16+H16</f>
        <v/>
      </c>
      <c r="J16" s="11">
        <f>SUM(I5:I16)</f>
        <v/>
      </c>
      <c r="K16" s="11">
        <f>G16+J16</f>
        <v/>
      </c>
      <c r="L16" s="12">
        <f>G16*Premissas!$B$5+J16*Premissas!$B$6/12</f>
        <v/>
      </c>
      <c r="M16" s="12">
        <f>K16*INDEX(Premissas!$B$29:$F$29,1,B16)+INDEX(Premissas!$B$27:$F$27,1,B16)*Premissas!$B$15/12+INDEX(Premissas!$B$28:$F$28,1,B16)*Premissas!$B$16</f>
        <v/>
      </c>
      <c r="N16" s="12">
        <f>L16+M16</f>
        <v/>
      </c>
      <c r="O16" s="12">
        <f>L16*Premissas!$B$8</f>
        <v/>
      </c>
      <c r="P16" s="12">
        <f>N16*Premissas!$B$9</f>
        <v/>
      </c>
      <c r="Q16" s="12">
        <f>N16-O16-P16</f>
        <v/>
      </c>
      <c r="R16" s="12">
        <f>K16*Premissas!$B$14</f>
        <v/>
      </c>
      <c r="S16" s="12">
        <f>INDEX(Premissas!$B$22:$F$22,1,B16)</f>
        <v/>
      </c>
      <c r="T16" s="12">
        <f>INDEX(Premissas!$B$24:$F$24,1,B16)</f>
        <v/>
      </c>
      <c r="U16" s="12">
        <f>INDEX(Premissas!$B$25:$F$25,1,B16)</f>
        <v/>
      </c>
      <c r="V16" s="12">
        <f>INDEX(Premissas!$B$26:$F$26,1,B16)</f>
        <v/>
      </c>
      <c r="W16" s="12">
        <f>Q16-R16-S16-T16-U16-V16</f>
        <v/>
      </c>
      <c r="X16" s="12">
        <f>X15+W16</f>
        <v/>
      </c>
      <c r="Y16" s="12">
        <f>S16/MAX(S16/INDEX(Premissas!$B$21:$F$21,1,B16)*Premissas!$B$10*Premissas!$B$11,1)</f>
        <v/>
      </c>
    </row>
    <row r="17">
      <c r="A17" s="19" t="n">
        <v>16</v>
      </c>
      <c r="B17" s="19">
        <f>INT((A17-1)/12)+1</f>
        <v/>
      </c>
      <c r="C17" s="11">
        <f>INDEX(Premissas!$B$22:$F$22,1,B17)/INDEX(Premissas!$B$21:$F$21,1,B17)*(1+INDEX(Premissas!$B$23:$F$23,1,B17))</f>
        <v/>
      </c>
      <c r="D17" s="11">
        <f>C17*Premissas!$B$10*Premissas!$B$11</f>
        <v/>
      </c>
      <c r="E17" s="11">
        <f>D17*(1-Premissas!$B$7)</f>
        <v/>
      </c>
      <c r="F17" s="11">
        <f>D17*Premissas!$B$7</f>
        <v/>
      </c>
      <c r="G17" s="11">
        <f>G16*(1-Premissas!$B$12)+E17</f>
        <v/>
      </c>
      <c r="H17" s="11">
        <f>I5*Premissas!$B$13</f>
        <v/>
      </c>
      <c r="I17" s="11">
        <f>F17+H17</f>
        <v/>
      </c>
      <c r="J17" s="11">
        <f>SUM(I6:I17)</f>
        <v/>
      </c>
      <c r="K17" s="11">
        <f>G17+J17</f>
        <v/>
      </c>
      <c r="L17" s="12">
        <f>G17*Premissas!$B$5+J17*Premissas!$B$6/12</f>
        <v/>
      </c>
      <c r="M17" s="12">
        <f>K17*INDEX(Premissas!$B$29:$F$29,1,B17)+INDEX(Premissas!$B$27:$F$27,1,B17)*Premissas!$B$15/12+INDEX(Premissas!$B$28:$F$28,1,B17)*Premissas!$B$16</f>
        <v/>
      </c>
      <c r="N17" s="12">
        <f>L17+M17</f>
        <v/>
      </c>
      <c r="O17" s="12">
        <f>L17*Premissas!$B$8</f>
        <v/>
      </c>
      <c r="P17" s="12">
        <f>N17*Premissas!$B$9</f>
        <v/>
      </c>
      <c r="Q17" s="12">
        <f>N17-O17-P17</f>
        <v/>
      </c>
      <c r="R17" s="12">
        <f>K17*Premissas!$B$14</f>
        <v/>
      </c>
      <c r="S17" s="12">
        <f>INDEX(Premissas!$B$22:$F$22,1,B17)</f>
        <v/>
      </c>
      <c r="T17" s="12">
        <f>INDEX(Premissas!$B$24:$F$24,1,B17)</f>
        <v/>
      </c>
      <c r="U17" s="12">
        <f>INDEX(Premissas!$B$25:$F$25,1,B17)</f>
        <v/>
      </c>
      <c r="V17" s="12">
        <f>INDEX(Premissas!$B$26:$F$26,1,B17)</f>
        <v/>
      </c>
      <c r="W17" s="12">
        <f>Q17-R17-S17-T17-U17-V17</f>
        <v/>
      </c>
      <c r="X17" s="12">
        <f>X16+W17</f>
        <v/>
      </c>
      <c r="Y17" s="12">
        <f>S17/MAX(S17/INDEX(Premissas!$B$21:$F$21,1,B17)*Premissas!$B$10*Premissas!$B$11,1)</f>
        <v/>
      </c>
    </row>
    <row r="18">
      <c r="A18" s="19" t="n">
        <v>17</v>
      </c>
      <c r="B18" s="19">
        <f>INT((A18-1)/12)+1</f>
        <v/>
      </c>
      <c r="C18" s="11">
        <f>INDEX(Premissas!$B$22:$F$22,1,B18)/INDEX(Premissas!$B$21:$F$21,1,B18)*(1+INDEX(Premissas!$B$23:$F$23,1,B18))</f>
        <v/>
      </c>
      <c r="D18" s="11">
        <f>C18*Premissas!$B$10*Premissas!$B$11</f>
        <v/>
      </c>
      <c r="E18" s="11">
        <f>D18*(1-Premissas!$B$7)</f>
        <v/>
      </c>
      <c r="F18" s="11">
        <f>D18*Premissas!$B$7</f>
        <v/>
      </c>
      <c r="G18" s="11">
        <f>G17*(1-Premissas!$B$12)+E18</f>
        <v/>
      </c>
      <c r="H18" s="11">
        <f>I6*Premissas!$B$13</f>
        <v/>
      </c>
      <c r="I18" s="11">
        <f>F18+H18</f>
        <v/>
      </c>
      <c r="J18" s="11">
        <f>SUM(I7:I18)</f>
        <v/>
      </c>
      <c r="K18" s="11">
        <f>G18+J18</f>
        <v/>
      </c>
      <c r="L18" s="12">
        <f>G18*Premissas!$B$5+J18*Premissas!$B$6/12</f>
        <v/>
      </c>
      <c r="M18" s="12">
        <f>K18*INDEX(Premissas!$B$29:$F$29,1,B18)+INDEX(Premissas!$B$27:$F$27,1,B18)*Premissas!$B$15/12+INDEX(Premissas!$B$28:$F$28,1,B18)*Premissas!$B$16</f>
        <v/>
      </c>
      <c r="N18" s="12">
        <f>L18+M18</f>
        <v/>
      </c>
      <c r="O18" s="12">
        <f>L18*Premissas!$B$8</f>
        <v/>
      </c>
      <c r="P18" s="12">
        <f>N18*Premissas!$B$9</f>
        <v/>
      </c>
      <c r="Q18" s="12">
        <f>N18-O18-P18</f>
        <v/>
      </c>
      <c r="R18" s="12">
        <f>K18*Premissas!$B$14</f>
        <v/>
      </c>
      <c r="S18" s="12">
        <f>INDEX(Premissas!$B$22:$F$22,1,B18)</f>
        <v/>
      </c>
      <c r="T18" s="12">
        <f>INDEX(Premissas!$B$24:$F$24,1,B18)</f>
        <v/>
      </c>
      <c r="U18" s="12">
        <f>INDEX(Premissas!$B$25:$F$25,1,B18)</f>
        <v/>
      </c>
      <c r="V18" s="12">
        <f>INDEX(Premissas!$B$26:$F$26,1,B18)</f>
        <v/>
      </c>
      <c r="W18" s="12">
        <f>Q18-R18-S18-T18-U18-V18</f>
        <v/>
      </c>
      <c r="X18" s="12">
        <f>X17+W18</f>
        <v/>
      </c>
      <c r="Y18" s="12">
        <f>S18/MAX(S18/INDEX(Premissas!$B$21:$F$21,1,B18)*Premissas!$B$10*Premissas!$B$11,1)</f>
        <v/>
      </c>
    </row>
    <row r="19">
      <c r="A19" s="19" t="n">
        <v>18</v>
      </c>
      <c r="B19" s="19">
        <f>INT((A19-1)/12)+1</f>
        <v/>
      </c>
      <c r="C19" s="11">
        <f>INDEX(Premissas!$B$22:$F$22,1,B19)/INDEX(Premissas!$B$21:$F$21,1,B19)*(1+INDEX(Premissas!$B$23:$F$23,1,B19))</f>
        <v/>
      </c>
      <c r="D19" s="11">
        <f>C19*Premissas!$B$10*Premissas!$B$11</f>
        <v/>
      </c>
      <c r="E19" s="11">
        <f>D19*(1-Premissas!$B$7)</f>
        <v/>
      </c>
      <c r="F19" s="11">
        <f>D19*Premissas!$B$7</f>
        <v/>
      </c>
      <c r="G19" s="11">
        <f>G18*(1-Premissas!$B$12)+E19</f>
        <v/>
      </c>
      <c r="H19" s="11">
        <f>I7*Premissas!$B$13</f>
        <v/>
      </c>
      <c r="I19" s="11">
        <f>F19+H19</f>
        <v/>
      </c>
      <c r="J19" s="11">
        <f>SUM(I8:I19)</f>
        <v/>
      </c>
      <c r="K19" s="11">
        <f>G19+J19</f>
        <v/>
      </c>
      <c r="L19" s="12">
        <f>G19*Premissas!$B$5+J19*Premissas!$B$6/12</f>
        <v/>
      </c>
      <c r="M19" s="12">
        <f>K19*INDEX(Premissas!$B$29:$F$29,1,B19)+INDEX(Premissas!$B$27:$F$27,1,B19)*Premissas!$B$15/12+INDEX(Premissas!$B$28:$F$28,1,B19)*Premissas!$B$16</f>
        <v/>
      </c>
      <c r="N19" s="12">
        <f>L19+M19</f>
        <v/>
      </c>
      <c r="O19" s="12">
        <f>L19*Premissas!$B$8</f>
        <v/>
      </c>
      <c r="P19" s="12">
        <f>N19*Premissas!$B$9</f>
        <v/>
      </c>
      <c r="Q19" s="12">
        <f>N19-O19-P19</f>
        <v/>
      </c>
      <c r="R19" s="12">
        <f>K19*Premissas!$B$14</f>
        <v/>
      </c>
      <c r="S19" s="12">
        <f>INDEX(Premissas!$B$22:$F$22,1,B19)</f>
        <v/>
      </c>
      <c r="T19" s="12">
        <f>INDEX(Premissas!$B$24:$F$24,1,B19)</f>
        <v/>
      </c>
      <c r="U19" s="12">
        <f>INDEX(Premissas!$B$25:$F$25,1,B19)</f>
        <v/>
      </c>
      <c r="V19" s="12">
        <f>INDEX(Premissas!$B$26:$F$26,1,B19)</f>
        <v/>
      </c>
      <c r="W19" s="12">
        <f>Q19-R19-S19-T19-U19-V19</f>
        <v/>
      </c>
      <c r="X19" s="12">
        <f>X18+W19</f>
        <v/>
      </c>
      <c r="Y19" s="12">
        <f>S19/MAX(S19/INDEX(Premissas!$B$21:$F$21,1,B19)*Premissas!$B$10*Premissas!$B$11,1)</f>
        <v/>
      </c>
    </row>
    <row r="20">
      <c r="A20" s="19" t="n">
        <v>19</v>
      </c>
      <c r="B20" s="19">
        <f>INT((A20-1)/12)+1</f>
        <v/>
      </c>
      <c r="C20" s="11">
        <f>INDEX(Premissas!$B$22:$F$22,1,B20)/INDEX(Premissas!$B$21:$F$21,1,B20)*(1+INDEX(Premissas!$B$23:$F$23,1,B20))</f>
        <v/>
      </c>
      <c r="D20" s="11">
        <f>C20*Premissas!$B$10*Premissas!$B$11</f>
        <v/>
      </c>
      <c r="E20" s="11">
        <f>D20*(1-Premissas!$B$7)</f>
        <v/>
      </c>
      <c r="F20" s="11">
        <f>D20*Premissas!$B$7</f>
        <v/>
      </c>
      <c r="G20" s="11">
        <f>G19*(1-Premissas!$B$12)+E20</f>
        <v/>
      </c>
      <c r="H20" s="11">
        <f>I8*Premissas!$B$13</f>
        <v/>
      </c>
      <c r="I20" s="11">
        <f>F20+H20</f>
        <v/>
      </c>
      <c r="J20" s="11">
        <f>SUM(I9:I20)</f>
        <v/>
      </c>
      <c r="K20" s="11">
        <f>G20+J20</f>
        <v/>
      </c>
      <c r="L20" s="12">
        <f>G20*Premissas!$B$5+J20*Premissas!$B$6/12</f>
        <v/>
      </c>
      <c r="M20" s="12">
        <f>K20*INDEX(Premissas!$B$29:$F$29,1,B20)+INDEX(Premissas!$B$27:$F$27,1,B20)*Premissas!$B$15/12+INDEX(Premissas!$B$28:$F$28,1,B20)*Premissas!$B$16</f>
        <v/>
      </c>
      <c r="N20" s="12">
        <f>L20+M20</f>
        <v/>
      </c>
      <c r="O20" s="12">
        <f>L20*Premissas!$B$8</f>
        <v/>
      </c>
      <c r="P20" s="12">
        <f>N20*Premissas!$B$9</f>
        <v/>
      </c>
      <c r="Q20" s="12">
        <f>N20-O20-P20</f>
        <v/>
      </c>
      <c r="R20" s="12">
        <f>K20*Premissas!$B$14</f>
        <v/>
      </c>
      <c r="S20" s="12">
        <f>INDEX(Premissas!$B$22:$F$22,1,B20)</f>
        <v/>
      </c>
      <c r="T20" s="12">
        <f>INDEX(Premissas!$B$24:$F$24,1,B20)</f>
        <v/>
      </c>
      <c r="U20" s="12">
        <f>INDEX(Premissas!$B$25:$F$25,1,B20)</f>
        <v/>
      </c>
      <c r="V20" s="12">
        <f>INDEX(Premissas!$B$26:$F$26,1,B20)</f>
        <v/>
      </c>
      <c r="W20" s="12">
        <f>Q20-R20-S20-T20-U20-V20</f>
        <v/>
      </c>
      <c r="X20" s="12">
        <f>X19+W20</f>
        <v/>
      </c>
      <c r="Y20" s="12">
        <f>S20/MAX(S20/INDEX(Premissas!$B$21:$F$21,1,B20)*Premissas!$B$10*Premissas!$B$11,1)</f>
        <v/>
      </c>
    </row>
    <row r="21">
      <c r="A21" s="19" t="n">
        <v>20</v>
      </c>
      <c r="B21" s="19">
        <f>INT((A21-1)/12)+1</f>
        <v/>
      </c>
      <c r="C21" s="11">
        <f>INDEX(Premissas!$B$22:$F$22,1,B21)/INDEX(Premissas!$B$21:$F$21,1,B21)*(1+INDEX(Premissas!$B$23:$F$23,1,B21))</f>
        <v/>
      </c>
      <c r="D21" s="11">
        <f>C21*Premissas!$B$10*Premissas!$B$11</f>
        <v/>
      </c>
      <c r="E21" s="11">
        <f>D21*(1-Premissas!$B$7)</f>
        <v/>
      </c>
      <c r="F21" s="11">
        <f>D21*Premissas!$B$7</f>
        <v/>
      </c>
      <c r="G21" s="11">
        <f>G20*(1-Premissas!$B$12)+E21</f>
        <v/>
      </c>
      <c r="H21" s="11">
        <f>I9*Premissas!$B$13</f>
        <v/>
      </c>
      <c r="I21" s="11">
        <f>F21+H21</f>
        <v/>
      </c>
      <c r="J21" s="11">
        <f>SUM(I10:I21)</f>
        <v/>
      </c>
      <c r="K21" s="11">
        <f>G21+J21</f>
        <v/>
      </c>
      <c r="L21" s="12">
        <f>G21*Premissas!$B$5+J21*Premissas!$B$6/12</f>
        <v/>
      </c>
      <c r="M21" s="12">
        <f>K21*INDEX(Premissas!$B$29:$F$29,1,B21)+INDEX(Premissas!$B$27:$F$27,1,B21)*Premissas!$B$15/12+INDEX(Premissas!$B$28:$F$28,1,B21)*Premissas!$B$16</f>
        <v/>
      </c>
      <c r="N21" s="12">
        <f>L21+M21</f>
        <v/>
      </c>
      <c r="O21" s="12">
        <f>L21*Premissas!$B$8</f>
        <v/>
      </c>
      <c r="P21" s="12">
        <f>N21*Premissas!$B$9</f>
        <v/>
      </c>
      <c r="Q21" s="12">
        <f>N21-O21-P21</f>
        <v/>
      </c>
      <c r="R21" s="12">
        <f>K21*Premissas!$B$14</f>
        <v/>
      </c>
      <c r="S21" s="12">
        <f>INDEX(Premissas!$B$22:$F$22,1,B21)</f>
        <v/>
      </c>
      <c r="T21" s="12">
        <f>INDEX(Premissas!$B$24:$F$24,1,B21)</f>
        <v/>
      </c>
      <c r="U21" s="12">
        <f>INDEX(Premissas!$B$25:$F$25,1,B21)</f>
        <v/>
      </c>
      <c r="V21" s="12">
        <f>INDEX(Premissas!$B$26:$F$26,1,B21)</f>
        <v/>
      </c>
      <c r="W21" s="12">
        <f>Q21-R21-S21-T21-U21-V21</f>
        <v/>
      </c>
      <c r="X21" s="12">
        <f>X20+W21</f>
        <v/>
      </c>
      <c r="Y21" s="12">
        <f>S21/MAX(S21/INDEX(Premissas!$B$21:$F$21,1,B21)*Premissas!$B$10*Premissas!$B$11,1)</f>
        <v/>
      </c>
    </row>
    <row r="22">
      <c r="A22" s="19" t="n">
        <v>21</v>
      </c>
      <c r="B22" s="19">
        <f>INT((A22-1)/12)+1</f>
        <v/>
      </c>
      <c r="C22" s="11">
        <f>INDEX(Premissas!$B$22:$F$22,1,B22)/INDEX(Premissas!$B$21:$F$21,1,B22)*(1+INDEX(Premissas!$B$23:$F$23,1,B22))</f>
        <v/>
      </c>
      <c r="D22" s="11">
        <f>C22*Premissas!$B$10*Premissas!$B$11</f>
        <v/>
      </c>
      <c r="E22" s="11">
        <f>D22*(1-Premissas!$B$7)</f>
        <v/>
      </c>
      <c r="F22" s="11">
        <f>D22*Premissas!$B$7</f>
        <v/>
      </c>
      <c r="G22" s="11">
        <f>G21*(1-Premissas!$B$12)+E22</f>
        <v/>
      </c>
      <c r="H22" s="11">
        <f>I10*Premissas!$B$13</f>
        <v/>
      </c>
      <c r="I22" s="11">
        <f>F22+H22</f>
        <v/>
      </c>
      <c r="J22" s="11">
        <f>SUM(I11:I22)</f>
        <v/>
      </c>
      <c r="K22" s="11">
        <f>G22+J22</f>
        <v/>
      </c>
      <c r="L22" s="12">
        <f>G22*Premissas!$B$5+J22*Premissas!$B$6/12</f>
        <v/>
      </c>
      <c r="M22" s="12">
        <f>K22*INDEX(Premissas!$B$29:$F$29,1,B22)+INDEX(Premissas!$B$27:$F$27,1,B22)*Premissas!$B$15/12+INDEX(Premissas!$B$28:$F$28,1,B22)*Premissas!$B$16</f>
        <v/>
      </c>
      <c r="N22" s="12">
        <f>L22+M22</f>
        <v/>
      </c>
      <c r="O22" s="12">
        <f>L22*Premissas!$B$8</f>
        <v/>
      </c>
      <c r="P22" s="12">
        <f>N22*Premissas!$B$9</f>
        <v/>
      </c>
      <c r="Q22" s="12">
        <f>N22-O22-P22</f>
        <v/>
      </c>
      <c r="R22" s="12">
        <f>K22*Premissas!$B$14</f>
        <v/>
      </c>
      <c r="S22" s="12">
        <f>INDEX(Premissas!$B$22:$F$22,1,B22)</f>
        <v/>
      </c>
      <c r="T22" s="12">
        <f>INDEX(Premissas!$B$24:$F$24,1,B22)</f>
        <v/>
      </c>
      <c r="U22" s="12">
        <f>INDEX(Premissas!$B$25:$F$25,1,B22)</f>
        <v/>
      </c>
      <c r="V22" s="12">
        <f>INDEX(Premissas!$B$26:$F$26,1,B22)</f>
        <v/>
      </c>
      <c r="W22" s="12">
        <f>Q22-R22-S22-T22-U22-V22</f>
        <v/>
      </c>
      <c r="X22" s="12">
        <f>X21+W22</f>
        <v/>
      </c>
      <c r="Y22" s="12">
        <f>S22/MAX(S22/INDEX(Premissas!$B$21:$F$21,1,B22)*Premissas!$B$10*Premissas!$B$11,1)</f>
        <v/>
      </c>
    </row>
    <row r="23">
      <c r="A23" s="19" t="n">
        <v>22</v>
      </c>
      <c r="B23" s="19">
        <f>INT((A23-1)/12)+1</f>
        <v/>
      </c>
      <c r="C23" s="11">
        <f>INDEX(Premissas!$B$22:$F$22,1,B23)/INDEX(Premissas!$B$21:$F$21,1,B23)*(1+INDEX(Premissas!$B$23:$F$23,1,B23))</f>
        <v/>
      </c>
      <c r="D23" s="11">
        <f>C23*Premissas!$B$10*Premissas!$B$11</f>
        <v/>
      </c>
      <c r="E23" s="11">
        <f>D23*(1-Premissas!$B$7)</f>
        <v/>
      </c>
      <c r="F23" s="11">
        <f>D23*Premissas!$B$7</f>
        <v/>
      </c>
      <c r="G23" s="11">
        <f>G22*(1-Premissas!$B$12)+E23</f>
        <v/>
      </c>
      <c r="H23" s="11">
        <f>I11*Premissas!$B$13</f>
        <v/>
      </c>
      <c r="I23" s="11">
        <f>F23+H23</f>
        <v/>
      </c>
      <c r="J23" s="11">
        <f>SUM(I12:I23)</f>
        <v/>
      </c>
      <c r="K23" s="11">
        <f>G23+J23</f>
        <v/>
      </c>
      <c r="L23" s="12">
        <f>G23*Premissas!$B$5+J23*Premissas!$B$6/12</f>
        <v/>
      </c>
      <c r="M23" s="12">
        <f>K23*INDEX(Premissas!$B$29:$F$29,1,B23)+INDEX(Premissas!$B$27:$F$27,1,B23)*Premissas!$B$15/12+INDEX(Premissas!$B$28:$F$28,1,B23)*Premissas!$B$16</f>
        <v/>
      </c>
      <c r="N23" s="12">
        <f>L23+M23</f>
        <v/>
      </c>
      <c r="O23" s="12">
        <f>L23*Premissas!$B$8</f>
        <v/>
      </c>
      <c r="P23" s="12">
        <f>N23*Premissas!$B$9</f>
        <v/>
      </c>
      <c r="Q23" s="12">
        <f>N23-O23-P23</f>
        <v/>
      </c>
      <c r="R23" s="12">
        <f>K23*Premissas!$B$14</f>
        <v/>
      </c>
      <c r="S23" s="12">
        <f>INDEX(Premissas!$B$22:$F$22,1,B23)</f>
        <v/>
      </c>
      <c r="T23" s="12">
        <f>INDEX(Premissas!$B$24:$F$24,1,B23)</f>
        <v/>
      </c>
      <c r="U23" s="12">
        <f>INDEX(Premissas!$B$25:$F$25,1,B23)</f>
        <v/>
      </c>
      <c r="V23" s="12">
        <f>INDEX(Premissas!$B$26:$F$26,1,B23)</f>
        <v/>
      </c>
      <c r="W23" s="12">
        <f>Q23-R23-S23-T23-U23-V23</f>
        <v/>
      </c>
      <c r="X23" s="12">
        <f>X22+W23</f>
        <v/>
      </c>
      <c r="Y23" s="12">
        <f>S23/MAX(S23/INDEX(Premissas!$B$21:$F$21,1,B23)*Premissas!$B$10*Premissas!$B$11,1)</f>
        <v/>
      </c>
    </row>
    <row r="24">
      <c r="A24" s="19" t="n">
        <v>23</v>
      </c>
      <c r="B24" s="19">
        <f>INT((A24-1)/12)+1</f>
        <v/>
      </c>
      <c r="C24" s="11">
        <f>INDEX(Premissas!$B$22:$F$22,1,B24)/INDEX(Premissas!$B$21:$F$21,1,B24)*(1+INDEX(Premissas!$B$23:$F$23,1,B24))</f>
        <v/>
      </c>
      <c r="D24" s="11">
        <f>C24*Premissas!$B$10*Premissas!$B$11</f>
        <v/>
      </c>
      <c r="E24" s="11">
        <f>D24*(1-Premissas!$B$7)</f>
        <v/>
      </c>
      <c r="F24" s="11">
        <f>D24*Premissas!$B$7</f>
        <v/>
      </c>
      <c r="G24" s="11">
        <f>G23*(1-Premissas!$B$12)+E24</f>
        <v/>
      </c>
      <c r="H24" s="11">
        <f>I12*Premissas!$B$13</f>
        <v/>
      </c>
      <c r="I24" s="11">
        <f>F24+H24</f>
        <v/>
      </c>
      <c r="J24" s="11">
        <f>SUM(I13:I24)</f>
        <v/>
      </c>
      <c r="K24" s="11">
        <f>G24+J24</f>
        <v/>
      </c>
      <c r="L24" s="12">
        <f>G24*Premissas!$B$5+J24*Premissas!$B$6/12</f>
        <v/>
      </c>
      <c r="M24" s="12">
        <f>K24*INDEX(Premissas!$B$29:$F$29,1,B24)+INDEX(Premissas!$B$27:$F$27,1,B24)*Premissas!$B$15/12+INDEX(Premissas!$B$28:$F$28,1,B24)*Premissas!$B$16</f>
        <v/>
      </c>
      <c r="N24" s="12">
        <f>L24+M24</f>
        <v/>
      </c>
      <c r="O24" s="12">
        <f>L24*Premissas!$B$8</f>
        <v/>
      </c>
      <c r="P24" s="12">
        <f>N24*Premissas!$B$9</f>
        <v/>
      </c>
      <c r="Q24" s="12">
        <f>N24-O24-P24</f>
        <v/>
      </c>
      <c r="R24" s="12">
        <f>K24*Premissas!$B$14</f>
        <v/>
      </c>
      <c r="S24" s="12">
        <f>INDEX(Premissas!$B$22:$F$22,1,B24)</f>
        <v/>
      </c>
      <c r="T24" s="12">
        <f>INDEX(Premissas!$B$24:$F$24,1,B24)</f>
        <v/>
      </c>
      <c r="U24" s="12">
        <f>INDEX(Premissas!$B$25:$F$25,1,B24)</f>
        <v/>
      </c>
      <c r="V24" s="12">
        <f>INDEX(Premissas!$B$26:$F$26,1,B24)</f>
        <v/>
      </c>
      <c r="W24" s="12">
        <f>Q24-R24-S24-T24-U24-V24</f>
        <v/>
      </c>
      <c r="X24" s="12">
        <f>X23+W24</f>
        <v/>
      </c>
      <c r="Y24" s="12">
        <f>S24/MAX(S24/INDEX(Premissas!$B$21:$F$21,1,B24)*Premissas!$B$10*Premissas!$B$11,1)</f>
        <v/>
      </c>
    </row>
    <row r="25">
      <c r="A25" s="20" t="n">
        <v>24</v>
      </c>
      <c r="B25" s="20">
        <f>INT((A25-1)/12)+1</f>
        <v/>
      </c>
      <c r="C25" s="21">
        <f>INDEX(Premissas!$B$22:$F$22,1,B25)/INDEX(Premissas!$B$21:$F$21,1,B25)*(1+INDEX(Premissas!$B$23:$F$23,1,B25))</f>
        <v/>
      </c>
      <c r="D25" s="21">
        <f>C25*Premissas!$B$10*Premissas!$B$11</f>
        <v/>
      </c>
      <c r="E25" s="21">
        <f>D25*(1-Premissas!$B$7)</f>
        <v/>
      </c>
      <c r="F25" s="21">
        <f>D25*Premissas!$B$7</f>
        <v/>
      </c>
      <c r="G25" s="21">
        <f>G24*(1-Premissas!$B$12)+E25</f>
        <v/>
      </c>
      <c r="H25" s="21">
        <f>I13*Premissas!$B$13</f>
        <v/>
      </c>
      <c r="I25" s="21">
        <f>F25+H25</f>
        <v/>
      </c>
      <c r="J25" s="21">
        <f>SUM(I14:I25)</f>
        <v/>
      </c>
      <c r="K25" s="21">
        <f>G25+J25</f>
        <v/>
      </c>
      <c r="L25" s="22">
        <f>G25*Premissas!$B$5+J25*Premissas!$B$6/12</f>
        <v/>
      </c>
      <c r="M25" s="22">
        <f>K25*INDEX(Premissas!$B$29:$F$29,1,B25)+INDEX(Premissas!$B$27:$F$27,1,B25)*Premissas!$B$15/12+INDEX(Premissas!$B$28:$F$28,1,B25)*Premissas!$B$16</f>
        <v/>
      </c>
      <c r="N25" s="22">
        <f>L25+M25</f>
        <v/>
      </c>
      <c r="O25" s="22">
        <f>L25*Premissas!$B$8</f>
        <v/>
      </c>
      <c r="P25" s="22">
        <f>N25*Premissas!$B$9</f>
        <v/>
      </c>
      <c r="Q25" s="22">
        <f>N25-O25-P25</f>
        <v/>
      </c>
      <c r="R25" s="22">
        <f>K25*Premissas!$B$14</f>
        <v/>
      </c>
      <c r="S25" s="22">
        <f>INDEX(Premissas!$B$22:$F$22,1,B25)</f>
        <v/>
      </c>
      <c r="T25" s="22">
        <f>INDEX(Premissas!$B$24:$F$24,1,B25)</f>
        <v/>
      </c>
      <c r="U25" s="22">
        <f>INDEX(Premissas!$B$25:$F$25,1,B25)</f>
        <v/>
      </c>
      <c r="V25" s="22">
        <f>INDEX(Premissas!$B$26:$F$26,1,B25)</f>
        <v/>
      </c>
      <c r="W25" s="22">
        <f>Q25-R25-S25-T25-U25-V25</f>
        <v/>
      </c>
      <c r="X25" s="22">
        <f>X24+W25</f>
        <v/>
      </c>
      <c r="Y25" s="22">
        <f>S25/MAX(S25/INDEX(Premissas!$B$21:$F$21,1,B25)*Premissas!$B$10*Premissas!$B$11,1)</f>
        <v/>
      </c>
    </row>
    <row r="26">
      <c r="A26" s="19" t="n">
        <v>25</v>
      </c>
      <c r="B26" s="19">
        <f>INT((A26-1)/12)+1</f>
        <v/>
      </c>
      <c r="C26" s="11">
        <f>INDEX(Premissas!$B$22:$F$22,1,B26)/INDEX(Premissas!$B$21:$F$21,1,B26)*(1+INDEX(Premissas!$B$23:$F$23,1,B26))</f>
        <v/>
      </c>
      <c r="D26" s="11">
        <f>C26*Premissas!$B$10*Premissas!$B$11</f>
        <v/>
      </c>
      <c r="E26" s="11">
        <f>D26*(1-Premissas!$B$7)</f>
        <v/>
      </c>
      <c r="F26" s="11">
        <f>D26*Premissas!$B$7</f>
        <v/>
      </c>
      <c r="G26" s="11">
        <f>G25*(1-Premissas!$B$12)+E26</f>
        <v/>
      </c>
      <c r="H26" s="11">
        <f>I14*Premissas!$B$13</f>
        <v/>
      </c>
      <c r="I26" s="11">
        <f>F26+H26</f>
        <v/>
      </c>
      <c r="J26" s="11">
        <f>SUM(I15:I26)</f>
        <v/>
      </c>
      <c r="K26" s="11">
        <f>G26+J26</f>
        <v/>
      </c>
      <c r="L26" s="12">
        <f>G26*Premissas!$B$5+J26*Premissas!$B$6/12</f>
        <v/>
      </c>
      <c r="M26" s="12">
        <f>K26*INDEX(Premissas!$B$29:$F$29,1,B26)+INDEX(Premissas!$B$27:$F$27,1,B26)*Premissas!$B$15/12+INDEX(Premissas!$B$28:$F$28,1,B26)*Premissas!$B$16</f>
        <v/>
      </c>
      <c r="N26" s="12">
        <f>L26+M26</f>
        <v/>
      </c>
      <c r="O26" s="12">
        <f>L26*Premissas!$B$8</f>
        <v/>
      </c>
      <c r="P26" s="12">
        <f>N26*Premissas!$B$9</f>
        <v/>
      </c>
      <c r="Q26" s="12">
        <f>N26-O26-P26</f>
        <v/>
      </c>
      <c r="R26" s="12">
        <f>K26*Premissas!$B$14</f>
        <v/>
      </c>
      <c r="S26" s="12">
        <f>INDEX(Premissas!$B$22:$F$22,1,B26)</f>
        <v/>
      </c>
      <c r="T26" s="12">
        <f>INDEX(Premissas!$B$24:$F$24,1,B26)</f>
        <v/>
      </c>
      <c r="U26" s="12">
        <f>INDEX(Premissas!$B$25:$F$25,1,B26)</f>
        <v/>
      </c>
      <c r="V26" s="12">
        <f>INDEX(Premissas!$B$26:$F$26,1,B26)</f>
        <v/>
      </c>
      <c r="W26" s="12">
        <f>Q26-R26-S26-T26-U26-V26</f>
        <v/>
      </c>
      <c r="X26" s="12">
        <f>X25+W26</f>
        <v/>
      </c>
      <c r="Y26" s="12">
        <f>S26/MAX(S26/INDEX(Premissas!$B$21:$F$21,1,B26)*Premissas!$B$10*Premissas!$B$11,1)</f>
        <v/>
      </c>
    </row>
    <row r="27">
      <c r="A27" s="19" t="n">
        <v>26</v>
      </c>
      <c r="B27" s="19">
        <f>INT((A27-1)/12)+1</f>
        <v/>
      </c>
      <c r="C27" s="11">
        <f>INDEX(Premissas!$B$22:$F$22,1,B27)/INDEX(Premissas!$B$21:$F$21,1,B27)*(1+INDEX(Premissas!$B$23:$F$23,1,B27))</f>
        <v/>
      </c>
      <c r="D27" s="11">
        <f>C27*Premissas!$B$10*Premissas!$B$11</f>
        <v/>
      </c>
      <c r="E27" s="11">
        <f>D27*(1-Premissas!$B$7)</f>
        <v/>
      </c>
      <c r="F27" s="11">
        <f>D27*Premissas!$B$7</f>
        <v/>
      </c>
      <c r="G27" s="11">
        <f>G26*(1-Premissas!$B$12)+E27</f>
        <v/>
      </c>
      <c r="H27" s="11">
        <f>I15*Premissas!$B$13</f>
        <v/>
      </c>
      <c r="I27" s="11">
        <f>F27+H27</f>
        <v/>
      </c>
      <c r="J27" s="11">
        <f>SUM(I16:I27)</f>
        <v/>
      </c>
      <c r="K27" s="11">
        <f>G27+J27</f>
        <v/>
      </c>
      <c r="L27" s="12">
        <f>G27*Premissas!$B$5+J27*Premissas!$B$6/12</f>
        <v/>
      </c>
      <c r="M27" s="12">
        <f>K27*INDEX(Premissas!$B$29:$F$29,1,B27)+INDEX(Premissas!$B$27:$F$27,1,B27)*Premissas!$B$15/12+INDEX(Premissas!$B$28:$F$28,1,B27)*Premissas!$B$16</f>
        <v/>
      </c>
      <c r="N27" s="12">
        <f>L27+M27</f>
        <v/>
      </c>
      <c r="O27" s="12">
        <f>L27*Premissas!$B$8</f>
        <v/>
      </c>
      <c r="P27" s="12">
        <f>N27*Premissas!$B$9</f>
        <v/>
      </c>
      <c r="Q27" s="12">
        <f>N27-O27-P27</f>
        <v/>
      </c>
      <c r="R27" s="12">
        <f>K27*Premissas!$B$14</f>
        <v/>
      </c>
      <c r="S27" s="12">
        <f>INDEX(Premissas!$B$22:$F$22,1,B27)</f>
        <v/>
      </c>
      <c r="T27" s="12">
        <f>INDEX(Premissas!$B$24:$F$24,1,B27)</f>
        <v/>
      </c>
      <c r="U27" s="12">
        <f>INDEX(Premissas!$B$25:$F$25,1,B27)</f>
        <v/>
      </c>
      <c r="V27" s="12">
        <f>INDEX(Premissas!$B$26:$F$26,1,B27)</f>
        <v/>
      </c>
      <c r="W27" s="12">
        <f>Q27-R27-S27-T27-U27-V27</f>
        <v/>
      </c>
      <c r="X27" s="12">
        <f>X26+W27</f>
        <v/>
      </c>
      <c r="Y27" s="12">
        <f>S27/MAX(S27/INDEX(Premissas!$B$21:$F$21,1,B27)*Premissas!$B$10*Premissas!$B$11,1)</f>
        <v/>
      </c>
    </row>
    <row r="28">
      <c r="A28" s="19" t="n">
        <v>27</v>
      </c>
      <c r="B28" s="19">
        <f>INT((A28-1)/12)+1</f>
        <v/>
      </c>
      <c r="C28" s="11">
        <f>INDEX(Premissas!$B$22:$F$22,1,B28)/INDEX(Premissas!$B$21:$F$21,1,B28)*(1+INDEX(Premissas!$B$23:$F$23,1,B28))</f>
        <v/>
      </c>
      <c r="D28" s="11">
        <f>C28*Premissas!$B$10*Premissas!$B$11</f>
        <v/>
      </c>
      <c r="E28" s="11">
        <f>D28*(1-Premissas!$B$7)</f>
        <v/>
      </c>
      <c r="F28" s="11">
        <f>D28*Premissas!$B$7</f>
        <v/>
      </c>
      <c r="G28" s="11">
        <f>G27*(1-Premissas!$B$12)+E28</f>
        <v/>
      </c>
      <c r="H28" s="11">
        <f>I16*Premissas!$B$13</f>
        <v/>
      </c>
      <c r="I28" s="11">
        <f>F28+H28</f>
        <v/>
      </c>
      <c r="J28" s="11">
        <f>SUM(I17:I28)</f>
        <v/>
      </c>
      <c r="K28" s="11">
        <f>G28+J28</f>
        <v/>
      </c>
      <c r="L28" s="12">
        <f>G28*Premissas!$B$5+J28*Premissas!$B$6/12</f>
        <v/>
      </c>
      <c r="M28" s="12">
        <f>K28*INDEX(Premissas!$B$29:$F$29,1,B28)+INDEX(Premissas!$B$27:$F$27,1,B28)*Premissas!$B$15/12+INDEX(Premissas!$B$28:$F$28,1,B28)*Premissas!$B$16</f>
        <v/>
      </c>
      <c r="N28" s="12">
        <f>L28+M28</f>
        <v/>
      </c>
      <c r="O28" s="12">
        <f>L28*Premissas!$B$8</f>
        <v/>
      </c>
      <c r="P28" s="12">
        <f>N28*Premissas!$B$9</f>
        <v/>
      </c>
      <c r="Q28" s="12">
        <f>N28-O28-P28</f>
        <v/>
      </c>
      <c r="R28" s="12">
        <f>K28*Premissas!$B$14</f>
        <v/>
      </c>
      <c r="S28" s="12">
        <f>INDEX(Premissas!$B$22:$F$22,1,B28)</f>
        <v/>
      </c>
      <c r="T28" s="12">
        <f>INDEX(Premissas!$B$24:$F$24,1,B28)</f>
        <v/>
      </c>
      <c r="U28" s="12">
        <f>INDEX(Premissas!$B$25:$F$25,1,B28)</f>
        <v/>
      </c>
      <c r="V28" s="12">
        <f>INDEX(Premissas!$B$26:$F$26,1,B28)</f>
        <v/>
      </c>
      <c r="W28" s="12">
        <f>Q28-R28-S28-T28-U28-V28</f>
        <v/>
      </c>
      <c r="X28" s="12">
        <f>X27+W28</f>
        <v/>
      </c>
      <c r="Y28" s="12">
        <f>S28/MAX(S28/INDEX(Premissas!$B$21:$F$21,1,B28)*Premissas!$B$10*Premissas!$B$11,1)</f>
        <v/>
      </c>
    </row>
    <row r="29">
      <c r="A29" s="19" t="n">
        <v>28</v>
      </c>
      <c r="B29" s="19">
        <f>INT((A29-1)/12)+1</f>
        <v/>
      </c>
      <c r="C29" s="11">
        <f>INDEX(Premissas!$B$22:$F$22,1,B29)/INDEX(Premissas!$B$21:$F$21,1,B29)*(1+INDEX(Premissas!$B$23:$F$23,1,B29))</f>
        <v/>
      </c>
      <c r="D29" s="11">
        <f>C29*Premissas!$B$10*Premissas!$B$11</f>
        <v/>
      </c>
      <c r="E29" s="11">
        <f>D29*(1-Premissas!$B$7)</f>
        <v/>
      </c>
      <c r="F29" s="11">
        <f>D29*Premissas!$B$7</f>
        <v/>
      </c>
      <c r="G29" s="11">
        <f>G28*(1-Premissas!$B$12)+E29</f>
        <v/>
      </c>
      <c r="H29" s="11">
        <f>I17*Premissas!$B$13</f>
        <v/>
      </c>
      <c r="I29" s="11">
        <f>F29+H29</f>
        <v/>
      </c>
      <c r="J29" s="11">
        <f>SUM(I18:I29)</f>
        <v/>
      </c>
      <c r="K29" s="11">
        <f>G29+J29</f>
        <v/>
      </c>
      <c r="L29" s="12">
        <f>G29*Premissas!$B$5+J29*Premissas!$B$6/12</f>
        <v/>
      </c>
      <c r="M29" s="12">
        <f>K29*INDEX(Premissas!$B$29:$F$29,1,B29)+INDEX(Premissas!$B$27:$F$27,1,B29)*Premissas!$B$15/12+INDEX(Premissas!$B$28:$F$28,1,B29)*Premissas!$B$16</f>
        <v/>
      </c>
      <c r="N29" s="12">
        <f>L29+M29</f>
        <v/>
      </c>
      <c r="O29" s="12">
        <f>L29*Premissas!$B$8</f>
        <v/>
      </c>
      <c r="P29" s="12">
        <f>N29*Premissas!$B$9</f>
        <v/>
      </c>
      <c r="Q29" s="12">
        <f>N29-O29-P29</f>
        <v/>
      </c>
      <c r="R29" s="12">
        <f>K29*Premissas!$B$14</f>
        <v/>
      </c>
      <c r="S29" s="12">
        <f>INDEX(Premissas!$B$22:$F$22,1,B29)</f>
        <v/>
      </c>
      <c r="T29" s="12">
        <f>INDEX(Premissas!$B$24:$F$24,1,B29)</f>
        <v/>
      </c>
      <c r="U29" s="12">
        <f>INDEX(Premissas!$B$25:$F$25,1,B29)</f>
        <v/>
      </c>
      <c r="V29" s="12">
        <f>INDEX(Premissas!$B$26:$F$26,1,B29)</f>
        <v/>
      </c>
      <c r="W29" s="12">
        <f>Q29-R29-S29-T29-U29-V29</f>
        <v/>
      </c>
      <c r="X29" s="12">
        <f>X28+W29</f>
        <v/>
      </c>
      <c r="Y29" s="12">
        <f>S29/MAX(S29/INDEX(Premissas!$B$21:$F$21,1,B29)*Premissas!$B$10*Premissas!$B$11,1)</f>
        <v/>
      </c>
    </row>
    <row r="30">
      <c r="A30" s="19" t="n">
        <v>29</v>
      </c>
      <c r="B30" s="19">
        <f>INT((A30-1)/12)+1</f>
        <v/>
      </c>
      <c r="C30" s="11">
        <f>INDEX(Premissas!$B$22:$F$22,1,B30)/INDEX(Premissas!$B$21:$F$21,1,B30)*(1+INDEX(Premissas!$B$23:$F$23,1,B30))</f>
        <v/>
      </c>
      <c r="D30" s="11">
        <f>C30*Premissas!$B$10*Premissas!$B$11</f>
        <v/>
      </c>
      <c r="E30" s="11">
        <f>D30*(1-Premissas!$B$7)</f>
        <v/>
      </c>
      <c r="F30" s="11">
        <f>D30*Premissas!$B$7</f>
        <v/>
      </c>
      <c r="G30" s="11">
        <f>G29*(1-Premissas!$B$12)+E30</f>
        <v/>
      </c>
      <c r="H30" s="11">
        <f>I18*Premissas!$B$13</f>
        <v/>
      </c>
      <c r="I30" s="11">
        <f>F30+H30</f>
        <v/>
      </c>
      <c r="J30" s="11">
        <f>SUM(I19:I30)</f>
        <v/>
      </c>
      <c r="K30" s="11">
        <f>G30+J30</f>
        <v/>
      </c>
      <c r="L30" s="12">
        <f>G30*Premissas!$B$5+J30*Premissas!$B$6/12</f>
        <v/>
      </c>
      <c r="M30" s="12">
        <f>K30*INDEX(Premissas!$B$29:$F$29,1,B30)+INDEX(Premissas!$B$27:$F$27,1,B30)*Premissas!$B$15/12+INDEX(Premissas!$B$28:$F$28,1,B30)*Premissas!$B$16</f>
        <v/>
      </c>
      <c r="N30" s="12">
        <f>L30+M30</f>
        <v/>
      </c>
      <c r="O30" s="12">
        <f>L30*Premissas!$B$8</f>
        <v/>
      </c>
      <c r="P30" s="12">
        <f>N30*Premissas!$B$9</f>
        <v/>
      </c>
      <c r="Q30" s="12">
        <f>N30-O30-P30</f>
        <v/>
      </c>
      <c r="R30" s="12">
        <f>K30*Premissas!$B$14</f>
        <v/>
      </c>
      <c r="S30" s="12">
        <f>INDEX(Premissas!$B$22:$F$22,1,B30)</f>
        <v/>
      </c>
      <c r="T30" s="12">
        <f>INDEX(Premissas!$B$24:$F$24,1,B30)</f>
        <v/>
      </c>
      <c r="U30" s="12">
        <f>INDEX(Premissas!$B$25:$F$25,1,B30)</f>
        <v/>
      </c>
      <c r="V30" s="12">
        <f>INDEX(Premissas!$B$26:$F$26,1,B30)</f>
        <v/>
      </c>
      <c r="W30" s="12">
        <f>Q30-R30-S30-T30-U30-V30</f>
        <v/>
      </c>
      <c r="X30" s="12">
        <f>X29+W30</f>
        <v/>
      </c>
      <c r="Y30" s="12">
        <f>S30/MAX(S30/INDEX(Premissas!$B$21:$F$21,1,B30)*Premissas!$B$10*Premissas!$B$11,1)</f>
        <v/>
      </c>
    </row>
    <row r="31">
      <c r="A31" s="19" t="n">
        <v>30</v>
      </c>
      <c r="B31" s="19">
        <f>INT((A31-1)/12)+1</f>
        <v/>
      </c>
      <c r="C31" s="11">
        <f>INDEX(Premissas!$B$22:$F$22,1,B31)/INDEX(Premissas!$B$21:$F$21,1,B31)*(1+INDEX(Premissas!$B$23:$F$23,1,B31))</f>
        <v/>
      </c>
      <c r="D31" s="11">
        <f>C31*Premissas!$B$10*Premissas!$B$11</f>
        <v/>
      </c>
      <c r="E31" s="11">
        <f>D31*(1-Premissas!$B$7)</f>
        <v/>
      </c>
      <c r="F31" s="11">
        <f>D31*Premissas!$B$7</f>
        <v/>
      </c>
      <c r="G31" s="11">
        <f>G30*(1-Premissas!$B$12)+E31</f>
        <v/>
      </c>
      <c r="H31" s="11">
        <f>I19*Premissas!$B$13</f>
        <v/>
      </c>
      <c r="I31" s="11">
        <f>F31+H31</f>
        <v/>
      </c>
      <c r="J31" s="11">
        <f>SUM(I20:I31)</f>
        <v/>
      </c>
      <c r="K31" s="11">
        <f>G31+J31</f>
        <v/>
      </c>
      <c r="L31" s="12">
        <f>G31*Premissas!$B$5+J31*Premissas!$B$6/12</f>
        <v/>
      </c>
      <c r="M31" s="12">
        <f>K31*INDEX(Premissas!$B$29:$F$29,1,B31)+INDEX(Premissas!$B$27:$F$27,1,B31)*Premissas!$B$15/12+INDEX(Premissas!$B$28:$F$28,1,B31)*Premissas!$B$16</f>
        <v/>
      </c>
      <c r="N31" s="12">
        <f>L31+M31</f>
        <v/>
      </c>
      <c r="O31" s="12">
        <f>L31*Premissas!$B$8</f>
        <v/>
      </c>
      <c r="P31" s="12">
        <f>N31*Premissas!$B$9</f>
        <v/>
      </c>
      <c r="Q31" s="12">
        <f>N31-O31-P31</f>
        <v/>
      </c>
      <c r="R31" s="12">
        <f>K31*Premissas!$B$14</f>
        <v/>
      </c>
      <c r="S31" s="12">
        <f>INDEX(Premissas!$B$22:$F$22,1,B31)</f>
        <v/>
      </c>
      <c r="T31" s="12">
        <f>INDEX(Premissas!$B$24:$F$24,1,B31)</f>
        <v/>
      </c>
      <c r="U31" s="12">
        <f>INDEX(Premissas!$B$25:$F$25,1,B31)</f>
        <v/>
      </c>
      <c r="V31" s="12">
        <f>INDEX(Premissas!$B$26:$F$26,1,B31)</f>
        <v/>
      </c>
      <c r="W31" s="12">
        <f>Q31-R31-S31-T31-U31-V31</f>
        <v/>
      </c>
      <c r="X31" s="12">
        <f>X30+W31</f>
        <v/>
      </c>
      <c r="Y31" s="12">
        <f>S31/MAX(S31/INDEX(Premissas!$B$21:$F$21,1,B31)*Premissas!$B$10*Premissas!$B$11,1)</f>
        <v/>
      </c>
    </row>
    <row r="32">
      <c r="A32" s="19" t="n">
        <v>31</v>
      </c>
      <c r="B32" s="19">
        <f>INT((A32-1)/12)+1</f>
        <v/>
      </c>
      <c r="C32" s="11">
        <f>INDEX(Premissas!$B$22:$F$22,1,B32)/INDEX(Premissas!$B$21:$F$21,1,B32)*(1+INDEX(Premissas!$B$23:$F$23,1,B32))</f>
        <v/>
      </c>
      <c r="D32" s="11">
        <f>C32*Premissas!$B$10*Premissas!$B$11</f>
        <v/>
      </c>
      <c r="E32" s="11">
        <f>D32*(1-Premissas!$B$7)</f>
        <v/>
      </c>
      <c r="F32" s="11">
        <f>D32*Premissas!$B$7</f>
        <v/>
      </c>
      <c r="G32" s="11">
        <f>G31*(1-Premissas!$B$12)+E32</f>
        <v/>
      </c>
      <c r="H32" s="11">
        <f>I20*Premissas!$B$13</f>
        <v/>
      </c>
      <c r="I32" s="11">
        <f>F32+H32</f>
        <v/>
      </c>
      <c r="J32" s="11">
        <f>SUM(I21:I32)</f>
        <v/>
      </c>
      <c r="K32" s="11">
        <f>G32+J32</f>
        <v/>
      </c>
      <c r="L32" s="12">
        <f>G32*Premissas!$B$5+J32*Premissas!$B$6/12</f>
        <v/>
      </c>
      <c r="M32" s="12">
        <f>K32*INDEX(Premissas!$B$29:$F$29,1,B32)+INDEX(Premissas!$B$27:$F$27,1,B32)*Premissas!$B$15/12+INDEX(Premissas!$B$28:$F$28,1,B32)*Premissas!$B$16</f>
        <v/>
      </c>
      <c r="N32" s="12">
        <f>L32+M32</f>
        <v/>
      </c>
      <c r="O32" s="12">
        <f>L32*Premissas!$B$8</f>
        <v/>
      </c>
      <c r="P32" s="12">
        <f>N32*Premissas!$B$9</f>
        <v/>
      </c>
      <c r="Q32" s="12">
        <f>N32-O32-P32</f>
        <v/>
      </c>
      <c r="R32" s="12">
        <f>K32*Premissas!$B$14</f>
        <v/>
      </c>
      <c r="S32" s="12">
        <f>INDEX(Premissas!$B$22:$F$22,1,B32)</f>
        <v/>
      </c>
      <c r="T32" s="12">
        <f>INDEX(Premissas!$B$24:$F$24,1,B32)</f>
        <v/>
      </c>
      <c r="U32" s="12">
        <f>INDEX(Premissas!$B$25:$F$25,1,B32)</f>
        <v/>
      </c>
      <c r="V32" s="12">
        <f>INDEX(Premissas!$B$26:$F$26,1,B32)</f>
        <v/>
      </c>
      <c r="W32" s="12">
        <f>Q32-R32-S32-T32-U32-V32</f>
        <v/>
      </c>
      <c r="X32" s="12">
        <f>X31+W32</f>
        <v/>
      </c>
      <c r="Y32" s="12">
        <f>S32/MAX(S32/INDEX(Premissas!$B$21:$F$21,1,B32)*Premissas!$B$10*Premissas!$B$11,1)</f>
        <v/>
      </c>
    </row>
    <row r="33">
      <c r="A33" s="19" t="n">
        <v>32</v>
      </c>
      <c r="B33" s="19">
        <f>INT((A33-1)/12)+1</f>
        <v/>
      </c>
      <c r="C33" s="11">
        <f>INDEX(Premissas!$B$22:$F$22,1,B33)/INDEX(Premissas!$B$21:$F$21,1,B33)*(1+INDEX(Premissas!$B$23:$F$23,1,B33))</f>
        <v/>
      </c>
      <c r="D33" s="11">
        <f>C33*Premissas!$B$10*Premissas!$B$11</f>
        <v/>
      </c>
      <c r="E33" s="11">
        <f>D33*(1-Premissas!$B$7)</f>
        <v/>
      </c>
      <c r="F33" s="11">
        <f>D33*Premissas!$B$7</f>
        <v/>
      </c>
      <c r="G33" s="11">
        <f>G32*(1-Premissas!$B$12)+E33</f>
        <v/>
      </c>
      <c r="H33" s="11">
        <f>I21*Premissas!$B$13</f>
        <v/>
      </c>
      <c r="I33" s="11">
        <f>F33+H33</f>
        <v/>
      </c>
      <c r="J33" s="11">
        <f>SUM(I22:I33)</f>
        <v/>
      </c>
      <c r="K33" s="11">
        <f>G33+J33</f>
        <v/>
      </c>
      <c r="L33" s="12">
        <f>G33*Premissas!$B$5+J33*Premissas!$B$6/12</f>
        <v/>
      </c>
      <c r="M33" s="12">
        <f>K33*INDEX(Premissas!$B$29:$F$29,1,B33)+INDEX(Premissas!$B$27:$F$27,1,B33)*Premissas!$B$15/12+INDEX(Premissas!$B$28:$F$28,1,B33)*Premissas!$B$16</f>
        <v/>
      </c>
      <c r="N33" s="12">
        <f>L33+M33</f>
        <v/>
      </c>
      <c r="O33" s="12">
        <f>L33*Premissas!$B$8</f>
        <v/>
      </c>
      <c r="P33" s="12">
        <f>N33*Premissas!$B$9</f>
        <v/>
      </c>
      <c r="Q33" s="12">
        <f>N33-O33-P33</f>
        <v/>
      </c>
      <c r="R33" s="12">
        <f>K33*Premissas!$B$14</f>
        <v/>
      </c>
      <c r="S33" s="12">
        <f>INDEX(Premissas!$B$22:$F$22,1,B33)</f>
        <v/>
      </c>
      <c r="T33" s="12">
        <f>INDEX(Premissas!$B$24:$F$24,1,B33)</f>
        <v/>
      </c>
      <c r="U33" s="12">
        <f>INDEX(Premissas!$B$25:$F$25,1,B33)</f>
        <v/>
      </c>
      <c r="V33" s="12">
        <f>INDEX(Premissas!$B$26:$F$26,1,B33)</f>
        <v/>
      </c>
      <c r="W33" s="12">
        <f>Q33-R33-S33-T33-U33-V33</f>
        <v/>
      </c>
      <c r="X33" s="12">
        <f>X32+W33</f>
        <v/>
      </c>
      <c r="Y33" s="12">
        <f>S33/MAX(S33/INDEX(Premissas!$B$21:$F$21,1,B33)*Premissas!$B$10*Premissas!$B$11,1)</f>
        <v/>
      </c>
    </row>
    <row r="34">
      <c r="A34" s="19" t="n">
        <v>33</v>
      </c>
      <c r="B34" s="19">
        <f>INT((A34-1)/12)+1</f>
        <v/>
      </c>
      <c r="C34" s="11">
        <f>INDEX(Premissas!$B$22:$F$22,1,B34)/INDEX(Premissas!$B$21:$F$21,1,B34)*(1+INDEX(Premissas!$B$23:$F$23,1,B34))</f>
        <v/>
      </c>
      <c r="D34" s="11">
        <f>C34*Premissas!$B$10*Premissas!$B$11</f>
        <v/>
      </c>
      <c r="E34" s="11">
        <f>D34*(1-Premissas!$B$7)</f>
        <v/>
      </c>
      <c r="F34" s="11">
        <f>D34*Premissas!$B$7</f>
        <v/>
      </c>
      <c r="G34" s="11">
        <f>G33*(1-Premissas!$B$12)+E34</f>
        <v/>
      </c>
      <c r="H34" s="11">
        <f>I22*Premissas!$B$13</f>
        <v/>
      </c>
      <c r="I34" s="11">
        <f>F34+H34</f>
        <v/>
      </c>
      <c r="J34" s="11">
        <f>SUM(I23:I34)</f>
        <v/>
      </c>
      <c r="K34" s="11">
        <f>G34+J34</f>
        <v/>
      </c>
      <c r="L34" s="12">
        <f>G34*Premissas!$B$5+J34*Premissas!$B$6/12</f>
        <v/>
      </c>
      <c r="M34" s="12">
        <f>K34*INDEX(Premissas!$B$29:$F$29,1,B34)+INDEX(Premissas!$B$27:$F$27,1,B34)*Premissas!$B$15/12+INDEX(Premissas!$B$28:$F$28,1,B34)*Premissas!$B$16</f>
        <v/>
      </c>
      <c r="N34" s="12">
        <f>L34+M34</f>
        <v/>
      </c>
      <c r="O34" s="12">
        <f>L34*Premissas!$B$8</f>
        <v/>
      </c>
      <c r="P34" s="12">
        <f>N34*Premissas!$B$9</f>
        <v/>
      </c>
      <c r="Q34" s="12">
        <f>N34-O34-P34</f>
        <v/>
      </c>
      <c r="R34" s="12">
        <f>K34*Premissas!$B$14</f>
        <v/>
      </c>
      <c r="S34" s="12">
        <f>INDEX(Premissas!$B$22:$F$22,1,B34)</f>
        <v/>
      </c>
      <c r="T34" s="12">
        <f>INDEX(Premissas!$B$24:$F$24,1,B34)</f>
        <v/>
      </c>
      <c r="U34" s="12">
        <f>INDEX(Premissas!$B$25:$F$25,1,B34)</f>
        <v/>
      </c>
      <c r="V34" s="12">
        <f>INDEX(Premissas!$B$26:$F$26,1,B34)</f>
        <v/>
      </c>
      <c r="W34" s="12">
        <f>Q34-R34-S34-T34-U34-V34</f>
        <v/>
      </c>
      <c r="X34" s="12">
        <f>X33+W34</f>
        <v/>
      </c>
      <c r="Y34" s="12">
        <f>S34/MAX(S34/INDEX(Premissas!$B$21:$F$21,1,B34)*Premissas!$B$10*Premissas!$B$11,1)</f>
        <v/>
      </c>
    </row>
    <row r="35">
      <c r="A35" s="19" t="n">
        <v>34</v>
      </c>
      <c r="B35" s="19">
        <f>INT((A35-1)/12)+1</f>
        <v/>
      </c>
      <c r="C35" s="11">
        <f>INDEX(Premissas!$B$22:$F$22,1,B35)/INDEX(Premissas!$B$21:$F$21,1,B35)*(1+INDEX(Premissas!$B$23:$F$23,1,B35))</f>
        <v/>
      </c>
      <c r="D35" s="11">
        <f>C35*Premissas!$B$10*Premissas!$B$11</f>
        <v/>
      </c>
      <c r="E35" s="11">
        <f>D35*(1-Premissas!$B$7)</f>
        <v/>
      </c>
      <c r="F35" s="11">
        <f>D35*Premissas!$B$7</f>
        <v/>
      </c>
      <c r="G35" s="11">
        <f>G34*(1-Premissas!$B$12)+E35</f>
        <v/>
      </c>
      <c r="H35" s="11">
        <f>I23*Premissas!$B$13</f>
        <v/>
      </c>
      <c r="I35" s="11">
        <f>F35+H35</f>
        <v/>
      </c>
      <c r="J35" s="11">
        <f>SUM(I24:I35)</f>
        <v/>
      </c>
      <c r="K35" s="11">
        <f>G35+J35</f>
        <v/>
      </c>
      <c r="L35" s="12">
        <f>G35*Premissas!$B$5+J35*Premissas!$B$6/12</f>
        <v/>
      </c>
      <c r="M35" s="12">
        <f>K35*INDEX(Premissas!$B$29:$F$29,1,B35)+INDEX(Premissas!$B$27:$F$27,1,B35)*Premissas!$B$15/12+INDEX(Premissas!$B$28:$F$28,1,B35)*Premissas!$B$16</f>
        <v/>
      </c>
      <c r="N35" s="12">
        <f>L35+M35</f>
        <v/>
      </c>
      <c r="O35" s="12">
        <f>L35*Premissas!$B$8</f>
        <v/>
      </c>
      <c r="P35" s="12">
        <f>N35*Premissas!$B$9</f>
        <v/>
      </c>
      <c r="Q35" s="12">
        <f>N35-O35-P35</f>
        <v/>
      </c>
      <c r="R35" s="12">
        <f>K35*Premissas!$B$14</f>
        <v/>
      </c>
      <c r="S35" s="12">
        <f>INDEX(Premissas!$B$22:$F$22,1,B35)</f>
        <v/>
      </c>
      <c r="T35" s="12">
        <f>INDEX(Premissas!$B$24:$F$24,1,B35)</f>
        <v/>
      </c>
      <c r="U35" s="12">
        <f>INDEX(Premissas!$B$25:$F$25,1,B35)</f>
        <v/>
      </c>
      <c r="V35" s="12">
        <f>INDEX(Premissas!$B$26:$F$26,1,B35)</f>
        <v/>
      </c>
      <c r="W35" s="12">
        <f>Q35-R35-S35-T35-U35-V35</f>
        <v/>
      </c>
      <c r="X35" s="12">
        <f>X34+W35</f>
        <v/>
      </c>
      <c r="Y35" s="12">
        <f>S35/MAX(S35/INDEX(Premissas!$B$21:$F$21,1,B35)*Premissas!$B$10*Premissas!$B$11,1)</f>
        <v/>
      </c>
    </row>
    <row r="36">
      <c r="A36" s="19" t="n">
        <v>35</v>
      </c>
      <c r="B36" s="19">
        <f>INT((A36-1)/12)+1</f>
        <v/>
      </c>
      <c r="C36" s="11">
        <f>INDEX(Premissas!$B$22:$F$22,1,B36)/INDEX(Premissas!$B$21:$F$21,1,B36)*(1+INDEX(Premissas!$B$23:$F$23,1,B36))</f>
        <v/>
      </c>
      <c r="D36" s="11">
        <f>C36*Premissas!$B$10*Premissas!$B$11</f>
        <v/>
      </c>
      <c r="E36" s="11">
        <f>D36*(1-Premissas!$B$7)</f>
        <v/>
      </c>
      <c r="F36" s="11">
        <f>D36*Premissas!$B$7</f>
        <v/>
      </c>
      <c r="G36" s="11">
        <f>G35*(1-Premissas!$B$12)+E36</f>
        <v/>
      </c>
      <c r="H36" s="11">
        <f>I24*Premissas!$B$13</f>
        <v/>
      </c>
      <c r="I36" s="11">
        <f>F36+H36</f>
        <v/>
      </c>
      <c r="J36" s="11">
        <f>SUM(I25:I36)</f>
        <v/>
      </c>
      <c r="K36" s="11">
        <f>G36+J36</f>
        <v/>
      </c>
      <c r="L36" s="12">
        <f>G36*Premissas!$B$5+J36*Premissas!$B$6/12</f>
        <v/>
      </c>
      <c r="M36" s="12">
        <f>K36*INDEX(Premissas!$B$29:$F$29,1,B36)+INDEX(Premissas!$B$27:$F$27,1,B36)*Premissas!$B$15/12+INDEX(Premissas!$B$28:$F$28,1,B36)*Premissas!$B$16</f>
        <v/>
      </c>
      <c r="N36" s="12">
        <f>L36+M36</f>
        <v/>
      </c>
      <c r="O36" s="12">
        <f>L36*Premissas!$B$8</f>
        <v/>
      </c>
      <c r="P36" s="12">
        <f>N36*Premissas!$B$9</f>
        <v/>
      </c>
      <c r="Q36" s="12">
        <f>N36-O36-P36</f>
        <v/>
      </c>
      <c r="R36" s="12">
        <f>K36*Premissas!$B$14</f>
        <v/>
      </c>
      <c r="S36" s="12">
        <f>INDEX(Premissas!$B$22:$F$22,1,B36)</f>
        <v/>
      </c>
      <c r="T36" s="12">
        <f>INDEX(Premissas!$B$24:$F$24,1,B36)</f>
        <v/>
      </c>
      <c r="U36" s="12">
        <f>INDEX(Premissas!$B$25:$F$25,1,B36)</f>
        <v/>
      </c>
      <c r="V36" s="12">
        <f>INDEX(Premissas!$B$26:$F$26,1,B36)</f>
        <v/>
      </c>
      <c r="W36" s="12">
        <f>Q36-R36-S36-T36-U36-V36</f>
        <v/>
      </c>
      <c r="X36" s="12">
        <f>X35+W36</f>
        <v/>
      </c>
      <c r="Y36" s="12">
        <f>S36/MAX(S36/INDEX(Premissas!$B$21:$F$21,1,B36)*Premissas!$B$10*Premissas!$B$11,1)</f>
        <v/>
      </c>
    </row>
    <row r="37">
      <c r="A37" s="20" t="n">
        <v>36</v>
      </c>
      <c r="B37" s="20">
        <f>INT((A37-1)/12)+1</f>
        <v/>
      </c>
      <c r="C37" s="21">
        <f>INDEX(Premissas!$B$22:$F$22,1,B37)/INDEX(Premissas!$B$21:$F$21,1,B37)*(1+INDEX(Premissas!$B$23:$F$23,1,B37))</f>
        <v/>
      </c>
      <c r="D37" s="21">
        <f>C37*Premissas!$B$10*Premissas!$B$11</f>
        <v/>
      </c>
      <c r="E37" s="21">
        <f>D37*(1-Premissas!$B$7)</f>
        <v/>
      </c>
      <c r="F37" s="21">
        <f>D37*Premissas!$B$7</f>
        <v/>
      </c>
      <c r="G37" s="21">
        <f>G36*(1-Premissas!$B$12)+E37</f>
        <v/>
      </c>
      <c r="H37" s="21">
        <f>I25*Premissas!$B$13</f>
        <v/>
      </c>
      <c r="I37" s="21">
        <f>F37+H37</f>
        <v/>
      </c>
      <c r="J37" s="21">
        <f>SUM(I26:I37)</f>
        <v/>
      </c>
      <c r="K37" s="21">
        <f>G37+J37</f>
        <v/>
      </c>
      <c r="L37" s="22">
        <f>G37*Premissas!$B$5+J37*Premissas!$B$6/12</f>
        <v/>
      </c>
      <c r="M37" s="22">
        <f>K37*INDEX(Premissas!$B$29:$F$29,1,B37)+INDEX(Premissas!$B$27:$F$27,1,B37)*Premissas!$B$15/12+INDEX(Premissas!$B$28:$F$28,1,B37)*Premissas!$B$16</f>
        <v/>
      </c>
      <c r="N37" s="22">
        <f>L37+M37</f>
        <v/>
      </c>
      <c r="O37" s="22">
        <f>L37*Premissas!$B$8</f>
        <v/>
      </c>
      <c r="P37" s="22">
        <f>N37*Premissas!$B$9</f>
        <v/>
      </c>
      <c r="Q37" s="22">
        <f>N37-O37-P37</f>
        <v/>
      </c>
      <c r="R37" s="22">
        <f>K37*Premissas!$B$14</f>
        <v/>
      </c>
      <c r="S37" s="22">
        <f>INDEX(Premissas!$B$22:$F$22,1,B37)</f>
        <v/>
      </c>
      <c r="T37" s="22">
        <f>INDEX(Premissas!$B$24:$F$24,1,B37)</f>
        <v/>
      </c>
      <c r="U37" s="22">
        <f>INDEX(Premissas!$B$25:$F$25,1,B37)</f>
        <v/>
      </c>
      <c r="V37" s="22">
        <f>INDEX(Premissas!$B$26:$F$26,1,B37)</f>
        <v/>
      </c>
      <c r="W37" s="22">
        <f>Q37-R37-S37-T37-U37-V37</f>
        <v/>
      </c>
      <c r="X37" s="22">
        <f>X36+W37</f>
        <v/>
      </c>
      <c r="Y37" s="22">
        <f>S37/MAX(S37/INDEX(Premissas!$B$21:$F$21,1,B37)*Premissas!$B$10*Premissas!$B$11,1)</f>
        <v/>
      </c>
    </row>
    <row r="38">
      <c r="A38" s="19" t="n">
        <v>37</v>
      </c>
      <c r="B38" s="19">
        <f>INT((A38-1)/12)+1</f>
        <v/>
      </c>
      <c r="C38" s="11">
        <f>INDEX(Premissas!$B$22:$F$22,1,B38)/INDEX(Premissas!$B$21:$F$21,1,B38)*(1+INDEX(Premissas!$B$23:$F$23,1,B38))</f>
        <v/>
      </c>
      <c r="D38" s="11">
        <f>C38*Premissas!$B$10*Premissas!$B$11</f>
        <v/>
      </c>
      <c r="E38" s="11">
        <f>D38*(1-Premissas!$B$7)</f>
        <v/>
      </c>
      <c r="F38" s="11">
        <f>D38*Premissas!$B$7</f>
        <v/>
      </c>
      <c r="G38" s="11">
        <f>G37*(1-Premissas!$B$12)+E38</f>
        <v/>
      </c>
      <c r="H38" s="11">
        <f>I26*Premissas!$B$13</f>
        <v/>
      </c>
      <c r="I38" s="11">
        <f>F38+H38</f>
        <v/>
      </c>
      <c r="J38" s="11">
        <f>SUM(I27:I38)</f>
        <v/>
      </c>
      <c r="K38" s="11">
        <f>G38+J38</f>
        <v/>
      </c>
      <c r="L38" s="12">
        <f>G38*Premissas!$B$5+J38*Premissas!$B$6/12</f>
        <v/>
      </c>
      <c r="M38" s="12">
        <f>K38*INDEX(Premissas!$B$29:$F$29,1,B38)+INDEX(Premissas!$B$27:$F$27,1,B38)*Premissas!$B$15/12+INDEX(Premissas!$B$28:$F$28,1,B38)*Premissas!$B$16</f>
        <v/>
      </c>
      <c r="N38" s="12">
        <f>L38+M38</f>
        <v/>
      </c>
      <c r="O38" s="12">
        <f>L38*Premissas!$B$8</f>
        <v/>
      </c>
      <c r="P38" s="12">
        <f>N38*Premissas!$B$9</f>
        <v/>
      </c>
      <c r="Q38" s="12">
        <f>N38-O38-P38</f>
        <v/>
      </c>
      <c r="R38" s="12">
        <f>K38*Premissas!$B$14</f>
        <v/>
      </c>
      <c r="S38" s="12">
        <f>INDEX(Premissas!$B$22:$F$22,1,B38)</f>
        <v/>
      </c>
      <c r="T38" s="12">
        <f>INDEX(Premissas!$B$24:$F$24,1,B38)</f>
        <v/>
      </c>
      <c r="U38" s="12">
        <f>INDEX(Premissas!$B$25:$F$25,1,B38)</f>
        <v/>
      </c>
      <c r="V38" s="12">
        <f>INDEX(Premissas!$B$26:$F$26,1,B38)</f>
        <v/>
      </c>
      <c r="W38" s="12">
        <f>Q38-R38-S38-T38-U38-V38</f>
        <v/>
      </c>
      <c r="X38" s="12">
        <f>X37+W38</f>
        <v/>
      </c>
      <c r="Y38" s="12">
        <f>S38/MAX(S38/INDEX(Premissas!$B$21:$F$21,1,B38)*Premissas!$B$10*Premissas!$B$11,1)</f>
        <v/>
      </c>
    </row>
    <row r="39">
      <c r="A39" s="19" t="n">
        <v>38</v>
      </c>
      <c r="B39" s="19">
        <f>INT((A39-1)/12)+1</f>
        <v/>
      </c>
      <c r="C39" s="11">
        <f>INDEX(Premissas!$B$22:$F$22,1,B39)/INDEX(Premissas!$B$21:$F$21,1,B39)*(1+INDEX(Premissas!$B$23:$F$23,1,B39))</f>
        <v/>
      </c>
      <c r="D39" s="11">
        <f>C39*Premissas!$B$10*Premissas!$B$11</f>
        <v/>
      </c>
      <c r="E39" s="11">
        <f>D39*(1-Premissas!$B$7)</f>
        <v/>
      </c>
      <c r="F39" s="11">
        <f>D39*Premissas!$B$7</f>
        <v/>
      </c>
      <c r="G39" s="11">
        <f>G38*(1-Premissas!$B$12)+E39</f>
        <v/>
      </c>
      <c r="H39" s="11">
        <f>I27*Premissas!$B$13</f>
        <v/>
      </c>
      <c r="I39" s="11">
        <f>F39+H39</f>
        <v/>
      </c>
      <c r="J39" s="11">
        <f>SUM(I28:I39)</f>
        <v/>
      </c>
      <c r="K39" s="11">
        <f>G39+J39</f>
        <v/>
      </c>
      <c r="L39" s="12">
        <f>G39*Premissas!$B$5+J39*Premissas!$B$6/12</f>
        <v/>
      </c>
      <c r="M39" s="12">
        <f>K39*INDEX(Premissas!$B$29:$F$29,1,B39)+INDEX(Premissas!$B$27:$F$27,1,B39)*Premissas!$B$15/12+INDEX(Premissas!$B$28:$F$28,1,B39)*Premissas!$B$16</f>
        <v/>
      </c>
      <c r="N39" s="12">
        <f>L39+M39</f>
        <v/>
      </c>
      <c r="O39" s="12">
        <f>L39*Premissas!$B$8</f>
        <v/>
      </c>
      <c r="P39" s="12">
        <f>N39*Premissas!$B$9</f>
        <v/>
      </c>
      <c r="Q39" s="12">
        <f>N39-O39-P39</f>
        <v/>
      </c>
      <c r="R39" s="12">
        <f>K39*Premissas!$B$14</f>
        <v/>
      </c>
      <c r="S39" s="12">
        <f>INDEX(Premissas!$B$22:$F$22,1,B39)</f>
        <v/>
      </c>
      <c r="T39" s="12">
        <f>INDEX(Premissas!$B$24:$F$24,1,B39)</f>
        <v/>
      </c>
      <c r="U39" s="12">
        <f>INDEX(Premissas!$B$25:$F$25,1,B39)</f>
        <v/>
      </c>
      <c r="V39" s="12">
        <f>INDEX(Premissas!$B$26:$F$26,1,B39)</f>
        <v/>
      </c>
      <c r="W39" s="12">
        <f>Q39-R39-S39-T39-U39-V39</f>
        <v/>
      </c>
      <c r="X39" s="12">
        <f>X38+W39</f>
        <v/>
      </c>
      <c r="Y39" s="12">
        <f>S39/MAX(S39/INDEX(Premissas!$B$21:$F$21,1,B39)*Premissas!$B$10*Premissas!$B$11,1)</f>
        <v/>
      </c>
    </row>
    <row r="40">
      <c r="A40" s="19" t="n">
        <v>39</v>
      </c>
      <c r="B40" s="19">
        <f>INT((A40-1)/12)+1</f>
        <v/>
      </c>
      <c r="C40" s="11">
        <f>INDEX(Premissas!$B$22:$F$22,1,B40)/INDEX(Premissas!$B$21:$F$21,1,B40)*(1+INDEX(Premissas!$B$23:$F$23,1,B40))</f>
        <v/>
      </c>
      <c r="D40" s="11">
        <f>C40*Premissas!$B$10*Premissas!$B$11</f>
        <v/>
      </c>
      <c r="E40" s="11">
        <f>D40*(1-Premissas!$B$7)</f>
        <v/>
      </c>
      <c r="F40" s="11">
        <f>D40*Premissas!$B$7</f>
        <v/>
      </c>
      <c r="G40" s="11">
        <f>G39*(1-Premissas!$B$12)+E40</f>
        <v/>
      </c>
      <c r="H40" s="11">
        <f>I28*Premissas!$B$13</f>
        <v/>
      </c>
      <c r="I40" s="11">
        <f>F40+H40</f>
        <v/>
      </c>
      <c r="J40" s="11">
        <f>SUM(I29:I40)</f>
        <v/>
      </c>
      <c r="K40" s="11">
        <f>G40+J40</f>
        <v/>
      </c>
      <c r="L40" s="12">
        <f>G40*Premissas!$B$5+J40*Premissas!$B$6/12</f>
        <v/>
      </c>
      <c r="M40" s="12">
        <f>K40*INDEX(Premissas!$B$29:$F$29,1,B40)+INDEX(Premissas!$B$27:$F$27,1,B40)*Premissas!$B$15/12+INDEX(Premissas!$B$28:$F$28,1,B40)*Premissas!$B$16</f>
        <v/>
      </c>
      <c r="N40" s="12">
        <f>L40+M40</f>
        <v/>
      </c>
      <c r="O40" s="12">
        <f>L40*Premissas!$B$8</f>
        <v/>
      </c>
      <c r="P40" s="12">
        <f>N40*Premissas!$B$9</f>
        <v/>
      </c>
      <c r="Q40" s="12">
        <f>N40-O40-P40</f>
        <v/>
      </c>
      <c r="R40" s="12">
        <f>K40*Premissas!$B$14</f>
        <v/>
      </c>
      <c r="S40" s="12">
        <f>INDEX(Premissas!$B$22:$F$22,1,B40)</f>
        <v/>
      </c>
      <c r="T40" s="12">
        <f>INDEX(Premissas!$B$24:$F$24,1,B40)</f>
        <v/>
      </c>
      <c r="U40" s="12">
        <f>INDEX(Premissas!$B$25:$F$25,1,B40)</f>
        <v/>
      </c>
      <c r="V40" s="12">
        <f>INDEX(Premissas!$B$26:$F$26,1,B40)</f>
        <v/>
      </c>
      <c r="W40" s="12">
        <f>Q40-R40-S40-T40-U40-V40</f>
        <v/>
      </c>
      <c r="X40" s="12">
        <f>X39+W40</f>
        <v/>
      </c>
      <c r="Y40" s="12">
        <f>S40/MAX(S40/INDEX(Premissas!$B$21:$F$21,1,B40)*Premissas!$B$10*Premissas!$B$11,1)</f>
        <v/>
      </c>
    </row>
    <row r="41">
      <c r="A41" s="19" t="n">
        <v>40</v>
      </c>
      <c r="B41" s="19">
        <f>INT((A41-1)/12)+1</f>
        <v/>
      </c>
      <c r="C41" s="11">
        <f>INDEX(Premissas!$B$22:$F$22,1,B41)/INDEX(Premissas!$B$21:$F$21,1,B41)*(1+INDEX(Premissas!$B$23:$F$23,1,B41))</f>
        <v/>
      </c>
      <c r="D41" s="11">
        <f>C41*Premissas!$B$10*Premissas!$B$11</f>
        <v/>
      </c>
      <c r="E41" s="11">
        <f>D41*(1-Premissas!$B$7)</f>
        <v/>
      </c>
      <c r="F41" s="11">
        <f>D41*Premissas!$B$7</f>
        <v/>
      </c>
      <c r="G41" s="11">
        <f>G40*(1-Premissas!$B$12)+E41</f>
        <v/>
      </c>
      <c r="H41" s="11">
        <f>I29*Premissas!$B$13</f>
        <v/>
      </c>
      <c r="I41" s="11">
        <f>F41+H41</f>
        <v/>
      </c>
      <c r="J41" s="11">
        <f>SUM(I30:I41)</f>
        <v/>
      </c>
      <c r="K41" s="11">
        <f>G41+J41</f>
        <v/>
      </c>
      <c r="L41" s="12">
        <f>G41*Premissas!$B$5+J41*Premissas!$B$6/12</f>
        <v/>
      </c>
      <c r="M41" s="12">
        <f>K41*INDEX(Premissas!$B$29:$F$29,1,B41)+INDEX(Premissas!$B$27:$F$27,1,B41)*Premissas!$B$15/12+INDEX(Premissas!$B$28:$F$28,1,B41)*Premissas!$B$16</f>
        <v/>
      </c>
      <c r="N41" s="12">
        <f>L41+M41</f>
        <v/>
      </c>
      <c r="O41" s="12">
        <f>L41*Premissas!$B$8</f>
        <v/>
      </c>
      <c r="P41" s="12">
        <f>N41*Premissas!$B$9</f>
        <v/>
      </c>
      <c r="Q41" s="12">
        <f>N41-O41-P41</f>
        <v/>
      </c>
      <c r="R41" s="12">
        <f>K41*Premissas!$B$14</f>
        <v/>
      </c>
      <c r="S41" s="12">
        <f>INDEX(Premissas!$B$22:$F$22,1,B41)</f>
        <v/>
      </c>
      <c r="T41" s="12">
        <f>INDEX(Premissas!$B$24:$F$24,1,B41)</f>
        <v/>
      </c>
      <c r="U41" s="12">
        <f>INDEX(Premissas!$B$25:$F$25,1,B41)</f>
        <v/>
      </c>
      <c r="V41" s="12">
        <f>INDEX(Premissas!$B$26:$F$26,1,B41)</f>
        <v/>
      </c>
      <c r="W41" s="12">
        <f>Q41-R41-S41-T41-U41-V41</f>
        <v/>
      </c>
      <c r="X41" s="12">
        <f>X40+W41</f>
        <v/>
      </c>
      <c r="Y41" s="12">
        <f>S41/MAX(S41/INDEX(Premissas!$B$21:$F$21,1,B41)*Premissas!$B$10*Premissas!$B$11,1)</f>
        <v/>
      </c>
    </row>
    <row r="42">
      <c r="A42" s="19" t="n">
        <v>41</v>
      </c>
      <c r="B42" s="19">
        <f>INT((A42-1)/12)+1</f>
        <v/>
      </c>
      <c r="C42" s="11">
        <f>INDEX(Premissas!$B$22:$F$22,1,B42)/INDEX(Premissas!$B$21:$F$21,1,B42)*(1+INDEX(Premissas!$B$23:$F$23,1,B42))</f>
        <v/>
      </c>
      <c r="D42" s="11">
        <f>C42*Premissas!$B$10*Premissas!$B$11</f>
        <v/>
      </c>
      <c r="E42" s="11">
        <f>D42*(1-Premissas!$B$7)</f>
        <v/>
      </c>
      <c r="F42" s="11">
        <f>D42*Premissas!$B$7</f>
        <v/>
      </c>
      <c r="G42" s="11">
        <f>G41*(1-Premissas!$B$12)+E42</f>
        <v/>
      </c>
      <c r="H42" s="11">
        <f>I30*Premissas!$B$13</f>
        <v/>
      </c>
      <c r="I42" s="11">
        <f>F42+H42</f>
        <v/>
      </c>
      <c r="J42" s="11">
        <f>SUM(I31:I42)</f>
        <v/>
      </c>
      <c r="K42" s="11">
        <f>G42+J42</f>
        <v/>
      </c>
      <c r="L42" s="12">
        <f>G42*Premissas!$B$5+J42*Premissas!$B$6/12</f>
        <v/>
      </c>
      <c r="M42" s="12">
        <f>K42*INDEX(Premissas!$B$29:$F$29,1,B42)+INDEX(Premissas!$B$27:$F$27,1,B42)*Premissas!$B$15/12+INDEX(Premissas!$B$28:$F$28,1,B42)*Premissas!$B$16</f>
        <v/>
      </c>
      <c r="N42" s="12">
        <f>L42+M42</f>
        <v/>
      </c>
      <c r="O42" s="12">
        <f>L42*Premissas!$B$8</f>
        <v/>
      </c>
      <c r="P42" s="12">
        <f>N42*Premissas!$B$9</f>
        <v/>
      </c>
      <c r="Q42" s="12">
        <f>N42-O42-P42</f>
        <v/>
      </c>
      <c r="R42" s="12">
        <f>K42*Premissas!$B$14</f>
        <v/>
      </c>
      <c r="S42" s="12">
        <f>INDEX(Premissas!$B$22:$F$22,1,B42)</f>
        <v/>
      </c>
      <c r="T42" s="12">
        <f>INDEX(Premissas!$B$24:$F$24,1,B42)</f>
        <v/>
      </c>
      <c r="U42" s="12">
        <f>INDEX(Premissas!$B$25:$F$25,1,B42)</f>
        <v/>
      </c>
      <c r="V42" s="12">
        <f>INDEX(Premissas!$B$26:$F$26,1,B42)</f>
        <v/>
      </c>
      <c r="W42" s="12">
        <f>Q42-R42-S42-T42-U42-V42</f>
        <v/>
      </c>
      <c r="X42" s="12">
        <f>X41+W42</f>
        <v/>
      </c>
      <c r="Y42" s="12">
        <f>S42/MAX(S42/INDEX(Premissas!$B$21:$F$21,1,B42)*Premissas!$B$10*Premissas!$B$11,1)</f>
        <v/>
      </c>
    </row>
    <row r="43">
      <c r="A43" s="19" t="n">
        <v>42</v>
      </c>
      <c r="B43" s="19">
        <f>INT((A43-1)/12)+1</f>
        <v/>
      </c>
      <c r="C43" s="11">
        <f>INDEX(Premissas!$B$22:$F$22,1,B43)/INDEX(Premissas!$B$21:$F$21,1,B43)*(1+INDEX(Premissas!$B$23:$F$23,1,B43))</f>
        <v/>
      </c>
      <c r="D43" s="11">
        <f>C43*Premissas!$B$10*Premissas!$B$11</f>
        <v/>
      </c>
      <c r="E43" s="11">
        <f>D43*(1-Premissas!$B$7)</f>
        <v/>
      </c>
      <c r="F43" s="11">
        <f>D43*Premissas!$B$7</f>
        <v/>
      </c>
      <c r="G43" s="11">
        <f>G42*(1-Premissas!$B$12)+E43</f>
        <v/>
      </c>
      <c r="H43" s="11">
        <f>I31*Premissas!$B$13</f>
        <v/>
      </c>
      <c r="I43" s="11">
        <f>F43+H43</f>
        <v/>
      </c>
      <c r="J43" s="11">
        <f>SUM(I32:I43)</f>
        <v/>
      </c>
      <c r="K43" s="11">
        <f>G43+J43</f>
        <v/>
      </c>
      <c r="L43" s="12">
        <f>G43*Premissas!$B$5+J43*Premissas!$B$6/12</f>
        <v/>
      </c>
      <c r="M43" s="12">
        <f>K43*INDEX(Premissas!$B$29:$F$29,1,B43)+INDEX(Premissas!$B$27:$F$27,1,B43)*Premissas!$B$15/12+INDEX(Premissas!$B$28:$F$28,1,B43)*Premissas!$B$16</f>
        <v/>
      </c>
      <c r="N43" s="12">
        <f>L43+M43</f>
        <v/>
      </c>
      <c r="O43" s="12">
        <f>L43*Premissas!$B$8</f>
        <v/>
      </c>
      <c r="P43" s="12">
        <f>N43*Premissas!$B$9</f>
        <v/>
      </c>
      <c r="Q43" s="12">
        <f>N43-O43-P43</f>
        <v/>
      </c>
      <c r="R43" s="12">
        <f>K43*Premissas!$B$14</f>
        <v/>
      </c>
      <c r="S43" s="12">
        <f>INDEX(Premissas!$B$22:$F$22,1,B43)</f>
        <v/>
      </c>
      <c r="T43" s="12">
        <f>INDEX(Premissas!$B$24:$F$24,1,B43)</f>
        <v/>
      </c>
      <c r="U43" s="12">
        <f>INDEX(Premissas!$B$25:$F$25,1,B43)</f>
        <v/>
      </c>
      <c r="V43" s="12">
        <f>INDEX(Premissas!$B$26:$F$26,1,B43)</f>
        <v/>
      </c>
      <c r="W43" s="12">
        <f>Q43-R43-S43-T43-U43-V43</f>
        <v/>
      </c>
      <c r="X43" s="12">
        <f>X42+W43</f>
        <v/>
      </c>
      <c r="Y43" s="12">
        <f>S43/MAX(S43/INDEX(Premissas!$B$21:$F$21,1,B43)*Premissas!$B$10*Premissas!$B$11,1)</f>
        <v/>
      </c>
    </row>
    <row r="44">
      <c r="A44" s="19" t="n">
        <v>43</v>
      </c>
      <c r="B44" s="19">
        <f>INT((A44-1)/12)+1</f>
        <v/>
      </c>
      <c r="C44" s="11">
        <f>INDEX(Premissas!$B$22:$F$22,1,B44)/INDEX(Premissas!$B$21:$F$21,1,B44)*(1+INDEX(Premissas!$B$23:$F$23,1,B44))</f>
        <v/>
      </c>
      <c r="D44" s="11">
        <f>C44*Premissas!$B$10*Premissas!$B$11</f>
        <v/>
      </c>
      <c r="E44" s="11">
        <f>D44*(1-Premissas!$B$7)</f>
        <v/>
      </c>
      <c r="F44" s="11">
        <f>D44*Premissas!$B$7</f>
        <v/>
      </c>
      <c r="G44" s="11">
        <f>G43*(1-Premissas!$B$12)+E44</f>
        <v/>
      </c>
      <c r="H44" s="11">
        <f>I32*Premissas!$B$13</f>
        <v/>
      </c>
      <c r="I44" s="11">
        <f>F44+H44</f>
        <v/>
      </c>
      <c r="J44" s="11">
        <f>SUM(I33:I44)</f>
        <v/>
      </c>
      <c r="K44" s="11">
        <f>G44+J44</f>
        <v/>
      </c>
      <c r="L44" s="12">
        <f>G44*Premissas!$B$5+J44*Premissas!$B$6/12</f>
        <v/>
      </c>
      <c r="M44" s="12">
        <f>K44*INDEX(Premissas!$B$29:$F$29,1,B44)+INDEX(Premissas!$B$27:$F$27,1,B44)*Premissas!$B$15/12+INDEX(Premissas!$B$28:$F$28,1,B44)*Premissas!$B$16</f>
        <v/>
      </c>
      <c r="N44" s="12">
        <f>L44+M44</f>
        <v/>
      </c>
      <c r="O44" s="12">
        <f>L44*Premissas!$B$8</f>
        <v/>
      </c>
      <c r="P44" s="12">
        <f>N44*Premissas!$B$9</f>
        <v/>
      </c>
      <c r="Q44" s="12">
        <f>N44-O44-P44</f>
        <v/>
      </c>
      <c r="R44" s="12">
        <f>K44*Premissas!$B$14</f>
        <v/>
      </c>
      <c r="S44" s="12">
        <f>INDEX(Premissas!$B$22:$F$22,1,B44)</f>
        <v/>
      </c>
      <c r="T44" s="12">
        <f>INDEX(Premissas!$B$24:$F$24,1,B44)</f>
        <v/>
      </c>
      <c r="U44" s="12">
        <f>INDEX(Premissas!$B$25:$F$25,1,B44)</f>
        <v/>
      </c>
      <c r="V44" s="12">
        <f>INDEX(Premissas!$B$26:$F$26,1,B44)</f>
        <v/>
      </c>
      <c r="W44" s="12">
        <f>Q44-R44-S44-T44-U44-V44</f>
        <v/>
      </c>
      <c r="X44" s="12">
        <f>X43+W44</f>
        <v/>
      </c>
      <c r="Y44" s="12">
        <f>S44/MAX(S44/INDEX(Premissas!$B$21:$F$21,1,B44)*Premissas!$B$10*Premissas!$B$11,1)</f>
        <v/>
      </c>
    </row>
    <row r="45">
      <c r="A45" s="19" t="n">
        <v>44</v>
      </c>
      <c r="B45" s="19">
        <f>INT((A45-1)/12)+1</f>
        <v/>
      </c>
      <c r="C45" s="11">
        <f>INDEX(Premissas!$B$22:$F$22,1,B45)/INDEX(Premissas!$B$21:$F$21,1,B45)*(1+INDEX(Premissas!$B$23:$F$23,1,B45))</f>
        <v/>
      </c>
      <c r="D45" s="11">
        <f>C45*Premissas!$B$10*Premissas!$B$11</f>
        <v/>
      </c>
      <c r="E45" s="11">
        <f>D45*(1-Premissas!$B$7)</f>
        <v/>
      </c>
      <c r="F45" s="11">
        <f>D45*Premissas!$B$7</f>
        <v/>
      </c>
      <c r="G45" s="11">
        <f>G44*(1-Premissas!$B$12)+E45</f>
        <v/>
      </c>
      <c r="H45" s="11">
        <f>I33*Premissas!$B$13</f>
        <v/>
      </c>
      <c r="I45" s="11">
        <f>F45+H45</f>
        <v/>
      </c>
      <c r="J45" s="11">
        <f>SUM(I34:I45)</f>
        <v/>
      </c>
      <c r="K45" s="11">
        <f>G45+J45</f>
        <v/>
      </c>
      <c r="L45" s="12">
        <f>G45*Premissas!$B$5+J45*Premissas!$B$6/12</f>
        <v/>
      </c>
      <c r="M45" s="12">
        <f>K45*INDEX(Premissas!$B$29:$F$29,1,B45)+INDEX(Premissas!$B$27:$F$27,1,B45)*Premissas!$B$15/12+INDEX(Premissas!$B$28:$F$28,1,B45)*Premissas!$B$16</f>
        <v/>
      </c>
      <c r="N45" s="12">
        <f>L45+M45</f>
        <v/>
      </c>
      <c r="O45" s="12">
        <f>L45*Premissas!$B$8</f>
        <v/>
      </c>
      <c r="P45" s="12">
        <f>N45*Premissas!$B$9</f>
        <v/>
      </c>
      <c r="Q45" s="12">
        <f>N45-O45-P45</f>
        <v/>
      </c>
      <c r="R45" s="12">
        <f>K45*Premissas!$B$14</f>
        <v/>
      </c>
      <c r="S45" s="12">
        <f>INDEX(Premissas!$B$22:$F$22,1,B45)</f>
        <v/>
      </c>
      <c r="T45" s="12">
        <f>INDEX(Premissas!$B$24:$F$24,1,B45)</f>
        <v/>
      </c>
      <c r="U45" s="12">
        <f>INDEX(Premissas!$B$25:$F$25,1,B45)</f>
        <v/>
      </c>
      <c r="V45" s="12">
        <f>INDEX(Premissas!$B$26:$F$26,1,B45)</f>
        <v/>
      </c>
      <c r="W45" s="12">
        <f>Q45-R45-S45-T45-U45-V45</f>
        <v/>
      </c>
      <c r="X45" s="12">
        <f>X44+W45</f>
        <v/>
      </c>
      <c r="Y45" s="12">
        <f>S45/MAX(S45/INDEX(Premissas!$B$21:$F$21,1,B45)*Premissas!$B$10*Premissas!$B$11,1)</f>
        <v/>
      </c>
    </row>
    <row r="46">
      <c r="A46" s="19" t="n">
        <v>45</v>
      </c>
      <c r="B46" s="19">
        <f>INT((A46-1)/12)+1</f>
        <v/>
      </c>
      <c r="C46" s="11">
        <f>INDEX(Premissas!$B$22:$F$22,1,B46)/INDEX(Premissas!$B$21:$F$21,1,B46)*(1+INDEX(Premissas!$B$23:$F$23,1,B46))</f>
        <v/>
      </c>
      <c r="D46" s="11">
        <f>C46*Premissas!$B$10*Premissas!$B$11</f>
        <v/>
      </c>
      <c r="E46" s="11">
        <f>D46*(1-Premissas!$B$7)</f>
        <v/>
      </c>
      <c r="F46" s="11">
        <f>D46*Premissas!$B$7</f>
        <v/>
      </c>
      <c r="G46" s="11">
        <f>G45*(1-Premissas!$B$12)+E46</f>
        <v/>
      </c>
      <c r="H46" s="11">
        <f>I34*Premissas!$B$13</f>
        <v/>
      </c>
      <c r="I46" s="11">
        <f>F46+H46</f>
        <v/>
      </c>
      <c r="J46" s="11">
        <f>SUM(I35:I46)</f>
        <v/>
      </c>
      <c r="K46" s="11">
        <f>G46+J46</f>
        <v/>
      </c>
      <c r="L46" s="12">
        <f>G46*Premissas!$B$5+J46*Premissas!$B$6/12</f>
        <v/>
      </c>
      <c r="M46" s="12">
        <f>K46*INDEX(Premissas!$B$29:$F$29,1,B46)+INDEX(Premissas!$B$27:$F$27,1,B46)*Premissas!$B$15/12+INDEX(Premissas!$B$28:$F$28,1,B46)*Premissas!$B$16</f>
        <v/>
      </c>
      <c r="N46" s="12">
        <f>L46+M46</f>
        <v/>
      </c>
      <c r="O46" s="12">
        <f>L46*Premissas!$B$8</f>
        <v/>
      </c>
      <c r="P46" s="12">
        <f>N46*Premissas!$B$9</f>
        <v/>
      </c>
      <c r="Q46" s="12">
        <f>N46-O46-P46</f>
        <v/>
      </c>
      <c r="R46" s="12">
        <f>K46*Premissas!$B$14</f>
        <v/>
      </c>
      <c r="S46" s="12">
        <f>INDEX(Premissas!$B$22:$F$22,1,B46)</f>
        <v/>
      </c>
      <c r="T46" s="12">
        <f>INDEX(Premissas!$B$24:$F$24,1,B46)</f>
        <v/>
      </c>
      <c r="U46" s="12">
        <f>INDEX(Premissas!$B$25:$F$25,1,B46)</f>
        <v/>
      </c>
      <c r="V46" s="12">
        <f>INDEX(Premissas!$B$26:$F$26,1,B46)</f>
        <v/>
      </c>
      <c r="W46" s="12">
        <f>Q46-R46-S46-T46-U46-V46</f>
        <v/>
      </c>
      <c r="X46" s="12">
        <f>X45+W46</f>
        <v/>
      </c>
      <c r="Y46" s="12">
        <f>S46/MAX(S46/INDEX(Premissas!$B$21:$F$21,1,B46)*Premissas!$B$10*Premissas!$B$11,1)</f>
        <v/>
      </c>
    </row>
    <row r="47">
      <c r="A47" s="19" t="n">
        <v>46</v>
      </c>
      <c r="B47" s="19">
        <f>INT((A47-1)/12)+1</f>
        <v/>
      </c>
      <c r="C47" s="11">
        <f>INDEX(Premissas!$B$22:$F$22,1,B47)/INDEX(Premissas!$B$21:$F$21,1,B47)*(1+INDEX(Premissas!$B$23:$F$23,1,B47))</f>
        <v/>
      </c>
      <c r="D47" s="11">
        <f>C47*Premissas!$B$10*Premissas!$B$11</f>
        <v/>
      </c>
      <c r="E47" s="11">
        <f>D47*(1-Premissas!$B$7)</f>
        <v/>
      </c>
      <c r="F47" s="11">
        <f>D47*Premissas!$B$7</f>
        <v/>
      </c>
      <c r="G47" s="11">
        <f>G46*(1-Premissas!$B$12)+E47</f>
        <v/>
      </c>
      <c r="H47" s="11">
        <f>I35*Premissas!$B$13</f>
        <v/>
      </c>
      <c r="I47" s="11">
        <f>F47+H47</f>
        <v/>
      </c>
      <c r="J47" s="11">
        <f>SUM(I36:I47)</f>
        <v/>
      </c>
      <c r="K47" s="11">
        <f>G47+J47</f>
        <v/>
      </c>
      <c r="L47" s="12">
        <f>G47*Premissas!$B$5+J47*Premissas!$B$6/12</f>
        <v/>
      </c>
      <c r="M47" s="12">
        <f>K47*INDEX(Premissas!$B$29:$F$29,1,B47)+INDEX(Premissas!$B$27:$F$27,1,B47)*Premissas!$B$15/12+INDEX(Premissas!$B$28:$F$28,1,B47)*Premissas!$B$16</f>
        <v/>
      </c>
      <c r="N47" s="12">
        <f>L47+M47</f>
        <v/>
      </c>
      <c r="O47" s="12">
        <f>L47*Premissas!$B$8</f>
        <v/>
      </c>
      <c r="P47" s="12">
        <f>N47*Premissas!$B$9</f>
        <v/>
      </c>
      <c r="Q47" s="12">
        <f>N47-O47-P47</f>
        <v/>
      </c>
      <c r="R47" s="12">
        <f>K47*Premissas!$B$14</f>
        <v/>
      </c>
      <c r="S47" s="12">
        <f>INDEX(Premissas!$B$22:$F$22,1,B47)</f>
        <v/>
      </c>
      <c r="T47" s="12">
        <f>INDEX(Premissas!$B$24:$F$24,1,B47)</f>
        <v/>
      </c>
      <c r="U47" s="12">
        <f>INDEX(Premissas!$B$25:$F$25,1,B47)</f>
        <v/>
      </c>
      <c r="V47" s="12">
        <f>INDEX(Premissas!$B$26:$F$26,1,B47)</f>
        <v/>
      </c>
      <c r="W47" s="12">
        <f>Q47-R47-S47-T47-U47-V47</f>
        <v/>
      </c>
      <c r="X47" s="12">
        <f>X46+W47</f>
        <v/>
      </c>
      <c r="Y47" s="12">
        <f>S47/MAX(S47/INDEX(Premissas!$B$21:$F$21,1,B47)*Premissas!$B$10*Premissas!$B$11,1)</f>
        <v/>
      </c>
    </row>
    <row r="48">
      <c r="A48" s="19" t="n">
        <v>47</v>
      </c>
      <c r="B48" s="19">
        <f>INT((A48-1)/12)+1</f>
        <v/>
      </c>
      <c r="C48" s="11">
        <f>INDEX(Premissas!$B$22:$F$22,1,B48)/INDEX(Premissas!$B$21:$F$21,1,B48)*(1+INDEX(Premissas!$B$23:$F$23,1,B48))</f>
        <v/>
      </c>
      <c r="D48" s="11">
        <f>C48*Premissas!$B$10*Premissas!$B$11</f>
        <v/>
      </c>
      <c r="E48" s="11">
        <f>D48*(1-Premissas!$B$7)</f>
        <v/>
      </c>
      <c r="F48" s="11">
        <f>D48*Premissas!$B$7</f>
        <v/>
      </c>
      <c r="G48" s="11">
        <f>G47*(1-Premissas!$B$12)+E48</f>
        <v/>
      </c>
      <c r="H48" s="11">
        <f>I36*Premissas!$B$13</f>
        <v/>
      </c>
      <c r="I48" s="11">
        <f>F48+H48</f>
        <v/>
      </c>
      <c r="J48" s="11">
        <f>SUM(I37:I48)</f>
        <v/>
      </c>
      <c r="K48" s="11">
        <f>G48+J48</f>
        <v/>
      </c>
      <c r="L48" s="12">
        <f>G48*Premissas!$B$5+J48*Premissas!$B$6/12</f>
        <v/>
      </c>
      <c r="M48" s="12">
        <f>K48*INDEX(Premissas!$B$29:$F$29,1,B48)+INDEX(Premissas!$B$27:$F$27,1,B48)*Premissas!$B$15/12+INDEX(Premissas!$B$28:$F$28,1,B48)*Premissas!$B$16</f>
        <v/>
      </c>
      <c r="N48" s="12">
        <f>L48+M48</f>
        <v/>
      </c>
      <c r="O48" s="12">
        <f>L48*Premissas!$B$8</f>
        <v/>
      </c>
      <c r="P48" s="12">
        <f>N48*Premissas!$B$9</f>
        <v/>
      </c>
      <c r="Q48" s="12">
        <f>N48-O48-P48</f>
        <v/>
      </c>
      <c r="R48" s="12">
        <f>K48*Premissas!$B$14</f>
        <v/>
      </c>
      <c r="S48" s="12">
        <f>INDEX(Premissas!$B$22:$F$22,1,B48)</f>
        <v/>
      </c>
      <c r="T48" s="12">
        <f>INDEX(Premissas!$B$24:$F$24,1,B48)</f>
        <v/>
      </c>
      <c r="U48" s="12">
        <f>INDEX(Premissas!$B$25:$F$25,1,B48)</f>
        <v/>
      </c>
      <c r="V48" s="12">
        <f>INDEX(Premissas!$B$26:$F$26,1,B48)</f>
        <v/>
      </c>
      <c r="W48" s="12">
        <f>Q48-R48-S48-T48-U48-V48</f>
        <v/>
      </c>
      <c r="X48" s="12">
        <f>X47+W48</f>
        <v/>
      </c>
      <c r="Y48" s="12">
        <f>S48/MAX(S48/INDEX(Premissas!$B$21:$F$21,1,B48)*Premissas!$B$10*Premissas!$B$11,1)</f>
        <v/>
      </c>
    </row>
    <row r="49">
      <c r="A49" s="20" t="n">
        <v>48</v>
      </c>
      <c r="B49" s="20">
        <f>INT((A49-1)/12)+1</f>
        <v/>
      </c>
      <c r="C49" s="21">
        <f>INDEX(Premissas!$B$22:$F$22,1,B49)/INDEX(Premissas!$B$21:$F$21,1,B49)*(1+INDEX(Premissas!$B$23:$F$23,1,B49))</f>
        <v/>
      </c>
      <c r="D49" s="21">
        <f>C49*Premissas!$B$10*Premissas!$B$11</f>
        <v/>
      </c>
      <c r="E49" s="21">
        <f>D49*(1-Premissas!$B$7)</f>
        <v/>
      </c>
      <c r="F49" s="21">
        <f>D49*Premissas!$B$7</f>
        <v/>
      </c>
      <c r="G49" s="21">
        <f>G48*(1-Premissas!$B$12)+E49</f>
        <v/>
      </c>
      <c r="H49" s="21">
        <f>I37*Premissas!$B$13</f>
        <v/>
      </c>
      <c r="I49" s="21">
        <f>F49+H49</f>
        <v/>
      </c>
      <c r="J49" s="21">
        <f>SUM(I38:I49)</f>
        <v/>
      </c>
      <c r="K49" s="21">
        <f>G49+J49</f>
        <v/>
      </c>
      <c r="L49" s="22">
        <f>G49*Premissas!$B$5+J49*Premissas!$B$6/12</f>
        <v/>
      </c>
      <c r="M49" s="22">
        <f>K49*INDEX(Premissas!$B$29:$F$29,1,B49)+INDEX(Premissas!$B$27:$F$27,1,B49)*Premissas!$B$15/12+INDEX(Premissas!$B$28:$F$28,1,B49)*Premissas!$B$16</f>
        <v/>
      </c>
      <c r="N49" s="22">
        <f>L49+M49</f>
        <v/>
      </c>
      <c r="O49" s="22">
        <f>L49*Premissas!$B$8</f>
        <v/>
      </c>
      <c r="P49" s="22">
        <f>N49*Premissas!$B$9</f>
        <v/>
      </c>
      <c r="Q49" s="22">
        <f>N49-O49-P49</f>
        <v/>
      </c>
      <c r="R49" s="22">
        <f>K49*Premissas!$B$14</f>
        <v/>
      </c>
      <c r="S49" s="22">
        <f>INDEX(Premissas!$B$22:$F$22,1,B49)</f>
        <v/>
      </c>
      <c r="T49" s="22">
        <f>INDEX(Premissas!$B$24:$F$24,1,B49)</f>
        <v/>
      </c>
      <c r="U49" s="22">
        <f>INDEX(Premissas!$B$25:$F$25,1,B49)</f>
        <v/>
      </c>
      <c r="V49" s="22">
        <f>INDEX(Premissas!$B$26:$F$26,1,B49)</f>
        <v/>
      </c>
      <c r="W49" s="22">
        <f>Q49-R49-S49-T49-U49-V49</f>
        <v/>
      </c>
      <c r="X49" s="22">
        <f>X48+W49</f>
        <v/>
      </c>
      <c r="Y49" s="22">
        <f>S49/MAX(S49/INDEX(Premissas!$B$21:$F$21,1,B49)*Premissas!$B$10*Premissas!$B$11,1)</f>
        <v/>
      </c>
    </row>
    <row r="50">
      <c r="A50" s="19" t="n">
        <v>49</v>
      </c>
      <c r="B50" s="19">
        <f>INT((A50-1)/12)+1</f>
        <v/>
      </c>
      <c r="C50" s="11">
        <f>INDEX(Premissas!$B$22:$F$22,1,B50)/INDEX(Premissas!$B$21:$F$21,1,B50)*(1+INDEX(Premissas!$B$23:$F$23,1,B50))</f>
        <v/>
      </c>
      <c r="D50" s="11">
        <f>C50*Premissas!$B$10*Premissas!$B$11</f>
        <v/>
      </c>
      <c r="E50" s="11">
        <f>D50*(1-Premissas!$B$7)</f>
        <v/>
      </c>
      <c r="F50" s="11">
        <f>D50*Premissas!$B$7</f>
        <v/>
      </c>
      <c r="G50" s="11">
        <f>G49*(1-Premissas!$B$12)+E50</f>
        <v/>
      </c>
      <c r="H50" s="11">
        <f>I38*Premissas!$B$13</f>
        <v/>
      </c>
      <c r="I50" s="11">
        <f>F50+H50</f>
        <v/>
      </c>
      <c r="J50" s="11">
        <f>SUM(I39:I50)</f>
        <v/>
      </c>
      <c r="K50" s="11">
        <f>G50+J50</f>
        <v/>
      </c>
      <c r="L50" s="12">
        <f>G50*Premissas!$B$5+J50*Premissas!$B$6/12</f>
        <v/>
      </c>
      <c r="M50" s="12">
        <f>K50*INDEX(Premissas!$B$29:$F$29,1,B50)+INDEX(Premissas!$B$27:$F$27,1,B50)*Premissas!$B$15/12+INDEX(Premissas!$B$28:$F$28,1,B50)*Premissas!$B$16</f>
        <v/>
      </c>
      <c r="N50" s="12">
        <f>L50+M50</f>
        <v/>
      </c>
      <c r="O50" s="12">
        <f>L50*Premissas!$B$8</f>
        <v/>
      </c>
      <c r="P50" s="12">
        <f>N50*Premissas!$B$9</f>
        <v/>
      </c>
      <c r="Q50" s="12">
        <f>N50-O50-P50</f>
        <v/>
      </c>
      <c r="R50" s="12">
        <f>K50*Premissas!$B$14</f>
        <v/>
      </c>
      <c r="S50" s="12">
        <f>INDEX(Premissas!$B$22:$F$22,1,B50)</f>
        <v/>
      </c>
      <c r="T50" s="12">
        <f>INDEX(Premissas!$B$24:$F$24,1,B50)</f>
        <v/>
      </c>
      <c r="U50" s="12">
        <f>INDEX(Premissas!$B$25:$F$25,1,B50)</f>
        <v/>
      </c>
      <c r="V50" s="12">
        <f>INDEX(Premissas!$B$26:$F$26,1,B50)</f>
        <v/>
      </c>
      <c r="W50" s="12">
        <f>Q50-R50-S50-T50-U50-V50</f>
        <v/>
      </c>
      <c r="X50" s="12">
        <f>X49+W50</f>
        <v/>
      </c>
      <c r="Y50" s="12">
        <f>S50/MAX(S50/INDEX(Premissas!$B$21:$F$21,1,B50)*Premissas!$B$10*Premissas!$B$11,1)</f>
        <v/>
      </c>
    </row>
    <row r="51">
      <c r="A51" s="19" t="n">
        <v>50</v>
      </c>
      <c r="B51" s="19">
        <f>INT((A51-1)/12)+1</f>
        <v/>
      </c>
      <c r="C51" s="11">
        <f>INDEX(Premissas!$B$22:$F$22,1,B51)/INDEX(Premissas!$B$21:$F$21,1,B51)*(1+INDEX(Premissas!$B$23:$F$23,1,B51))</f>
        <v/>
      </c>
      <c r="D51" s="11">
        <f>C51*Premissas!$B$10*Premissas!$B$11</f>
        <v/>
      </c>
      <c r="E51" s="11">
        <f>D51*(1-Premissas!$B$7)</f>
        <v/>
      </c>
      <c r="F51" s="11">
        <f>D51*Premissas!$B$7</f>
        <v/>
      </c>
      <c r="G51" s="11">
        <f>G50*(1-Premissas!$B$12)+E51</f>
        <v/>
      </c>
      <c r="H51" s="11">
        <f>I39*Premissas!$B$13</f>
        <v/>
      </c>
      <c r="I51" s="11">
        <f>F51+H51</f>
        <v/>
      </c>
      <c r="J51" s="11">
        <f>SUM(I40:I51)</f>
        <v/>
      </c>
      <c r="K51" s="11">
        <f>G51+J51</f>
        <v/>
      </c>
      <c r="L51" s="12">
        <f>G51*Premissas!$B$5+J51*Premissas!$B$6/12</f>
        <v/>
      </c>
      <c r="M51" s="12">
        <f>K51*INDEX(Premissas!$B$29:$F$29,1,B51)+INDEX(Premissas!$B$27:$F$27,1,B51)*Premissas!$B$15/12+INDEX(Premissas!$B$28:$F$28,1,B51)*Premissas!$B$16</f>
        <v/>
      </c>
      <c r="N51" s="12">
        <f>L51+M51</f>
        <v/>
      </c>
      <c r="O51" s="12">
        <f>L51*Premissas!$B$8</f>
        <v/>
      </c>
      <c r="P51" s="12">
        <f>N51*Premissas!$B$9</f>
        <v/>
      </c>
      <c r="Q51" s="12">
        <f>N51-O51-P51</f>
        <v/>
      </c>
      <c r="R51" s="12">
        <f>K51*Premissas!$B$14</f>
        <v/>
      </c>
      <c r="S51" s="12">
        <f>INDEX(Premissas!$B$22:$F$22,1,B51)</f>
        <v/>
      </c>
      <c r="T51" s="12">
        <f>INDEX(Premissas!$B$24:$F$24,1,B51)</f>
        <v/>
      </c>
      <c r="U51" s="12">
        <f>INDEX(Premissas!$B$25:$F$25,1,B51)</f>
        <v/>
      </c>
      <c r="V51" s="12">
        <f>INDEX(Premissas!$B$26:$F$26,1,B51)</f>
        <v/>
      </c>
      <c r="W51" s="12">
        <f>Q51-R51-S51-T51-U51-V51</f>
        <v/>
      </c>
      <c r="X51" s="12">
        <f>X50+W51</f>
        <v/>
      </c>
      <c r="Y51" s="12">
        <f>S51/MAX(S51/INDEX(Premissas!$B$21:$F$21,1,B51)*Premissas!$B$10*Premissas!$B$11,1)</f>
        <v/>
      </c>
    </row>
    <row r="52">
      <c r="A52" s="19" t="n">
        <v>51</v>
      </c>
      <c r="B52" s="19">
        <f>INT((A52-1)/12)+1</f>
        <v/>
      </c>
      <c r="C52" s="11">
        <f>INDEX(Premissas!$B$22:$F$22,1,B52)/INDEX(Premissas!$B$21:$F$21,1,B52)*(1+INDEX(Premissas!$B$23:$F$23,1,B52))</f>
        <v/>
      </c>
      <c r="D52" s="11">
        <f>C52*Premissas!$B$10*Premissas!$B$11</f>
        <v/>
      </c>
      <c r="E52" s="11">
        <f>D52*(1-Premissas!$B$7)</f>
        <v/>
      </c>
      <c r="F52" s="11">
        <f>D52*Premissas!$B$7</f>
        <v/>
      </c>
      <c r="G52" s="11">
        <f>G51*(1-Premissas!$B$12)+E52</f>
        <v/>
      </c>
      <c r="H52" s="11">
        <f>I40*Premissas!$B$13</f>
        <v/>
      </c>
      <c r="I52" s="11">
        <f>F52+H52</f>
        <v/>
      </c>
      <c r="J52" s="11">
        <f>SUM(I41:I52)</f>
        <v/>
      </c>
      <c r="K52" s="11">
        <f>G52+J52</f>
        <v/>
      </c>
      <c r="L52" s="12">
        <f>G52*Premissas!$B$5+J52*Premissas!$B$6/12</f>
        <v/>
      </c>
      <c r="M52" s="12">
        <f>K52*INDEX(Premissas!$B$29:$F$29,1,B52)+INDEX(Premissas!$B$27:$F$27,1,B52)*Premissas!$B$15/12+INDEX(Premissas!$B$28:$F$28,1,B52)*Premissas!$B$16</f>
        <v/>
      </c>
      <c r="N52" s="12">
        <f>L52+M52</f>
        <v/>
      </c>
      <c r="O52" s="12">
        <f>L52*Premissas!$B$8</f>
        <v/>
      </c>
      <c r="P52" s="12">
        <f>N52*Premissas!$B$9</f>
        <v/>
      </c>
      <c r="Q52" s="12">
        <f>N52-O52-P52</f>
        <v/>
      </c>
      <c r="R52" s="12">
        <f>K52*Premissas!$B$14</f>
        <v/>
      </c>
      <c r="S52" s="12">
        <f>INDEX(Premissas!$B$22:$F$22,1,B52)</f>
        <v/>
      </c>
      <c r="T52" s="12">
        <f>INDEX(Premissas!$B$24:$F$24,1,B52)</f>
        <v/>
      </c>
      <c r="U52" s="12">
        <f>INDEX(Premissas!$B$25:$F$25,1,B52)</f>
        <v/>
      </c>
      <c r="V52" s="12">
        <f>INDEX(Premissas!$B$26:$F$26,1,B52)</f>
        <v/>
      </c>
      <c r="W52" s="12">
        <f>Q52-R52-S52-T52-U52-V52</f>
        <v/>
      </c>
      <c r="X52" s="12">
        <f>X51+W52</f>
        <v/>
      </c>
      <c r="Y52" s="12">
        <f>S52/MAX(S52/INDEX(Premissas!$B$21:$F$21,1,B52)*Premissas!$B$10*Premissas!$B$11,1)</f>
        <v/>
      </c>
    </row>
    <row r="53">
      <c r="A53" s="19" t="n">
        <v>52</v>
      </c>
      <c r="B53" s="19">
        <f>INT((A53-1)/12)+1</f>
        <v/>
      </c>
      <c r="C53" s="11">
        <f>INDEX(Premissas!$B$22:$F$22,1,B53)/INDEX(Premissas!$B$21:$F$21,1,B53)*(1+INDEX(Premissas!$B$23:$F$23,1,B53))</f>
        <v/>
      </c>
      <c r="D53" s="11">
        <f>C53*Premissas!$B$10*Premissas!$B$11</f>
        <v/>
      </c>
      <c r="E53" s="11">
        <f>D53*(1-Premissas!$B$7)</f>
        <v/>
      </c>
      <c r="F53" s="11">
        <f>D53*Premissas!$B$7</f>
        <v/>
      </c>
      <c r="G53" s="11">
        <f>G52*(1-Premissas!$B$12)+E53</f>
        <v/>
      </c>
      <c r="H53" s="11">
        <f>I41*Premissas!$B$13</f>
        <v/>
      </c>
      <c r="I53" s="11">
        <f>F53+H53</f>
        <v/>
      </c>
      <c r="J53" s="11">
        <f>SUM(I42:I53)</f>
        <v/>
      </c>
      <c r="K53" s="11">
        <f>G53+J53</f>
        <v/>
      </c>
      <c r="L53" s="12">
        <f>G53*Premissas!$B$5+J53*Premissas!$B$6/12</f>
        <v/>
      </c>
      <c r="M53" s="12">
        <f>K53*INDEX(Premissas!$B$29:$F$29,1,B53)+INDEX(Premissas!$B$27:$F$27,1,B53)*Premissas!$B$15/12+INDEX(Premissas!$B$28:$F$28,1,B53)*Premissas!$B$16</f>
        <v/>
      </c>
      <c r="N53" s="12">
        <f>L53+M53</f>
        <v/>
      </c>
      <c r="O53" s="12">
        <f>L53*Premissas!$B$8</f>
        <v/>
      </c>
      <c r="P53" s="12">
        <f>N53*Premissas!$B$9</f>
        <v/>
      </c>
      <c r="Q53" s="12">
        <f>N53-O53-P53</f>
        <v/>
      </c>
      <c r="R53" s="12">
        <f>K53*Premissas!$B$14</f>
        <v/>
      </c>
      <c r="S53" s="12">
        <f>INDEX(Premissas!$B$22:$F$22,1,B53)</f>
        <v/>
      </c>
      <c r="T53" s="12">
        <f>INDEX(Premissas!$B$24:$F$24,1,B53)</f>
        <v/>
      </c>
      <c r="U53" s="12">
        <f>INDEX(Premissas!$B$25:$F$25,1,B53)</f>
        <v/>
      </c>
      <c r="V53" s="12">
        <f>INDEX(Premissas!$B$26:$F$26,1,B53)</f>
        <v/>
      </c>
      <c r="W53" s="12">
        <f>Q53-R53-S53-T53-U53-V53</f>
        <v/>
      </c>
      <c r="X53" s="12">
        <f>X52+W53</f>
        <v/>
      </c>
      <c r="Y53" s="12">
        <f>S53/MAX(S53/INDEX(Premissas!$B$21:$F$21,1,B53)*Premissas!$B$10*Premissas!$B$11,1)</f>
        <v/>
      </c>
    </row>
    <row r="54">
      <c r="A54" s="19" t="n">
        <v>53</v>
      </c>
      <c r="B54" s="19">
        <f>INT((A54-1)/12)+1</f>
        <v/>
      </c>
      <c r="C54" s="11">
        <f>INDEX(Premissas!$B$22:$F$22,1,B54)/INDEX(Premissas!$B$21:$F$21,1,B54)*(1+INDEX(Premissas!$B$23:$F$23,1,B54))</f>
        <v/>
      </c>
      <c r="D54" s="11">
        <f>C54*Premissas!$B$10*Premissas!$B$11</f>
        <v/>
      </c>
      <c r="E54" s="11">
        <f>D54*(1-Premissas!$B$7)</f>
        <v/>
      </c>
      <c r="F54" s="11">
        <f>D54*Premissas!$B$7</f>
        <v/>
      </c>
      <c r="G54" s="11">
        <f>G53*(1-Premissas!$B$12)+E54</f>
        <v/>
      </c>
      <c r="H54" s="11">
        <f>I42*Premissas!$B$13</f>
        <v/>
      </c>
      <c r="I54" s="11">
        <f>F54+H54</f>
        <v/>
      </c>
      <c r="J54" s="11">
        <f>SUM(I43:I54)</f>
        <v/>
      </c>
      <c r="K54" s="11">
        <f>G54+J54</f>
        <v/>
      </c>
      <c r="L54" s="12">
        <f>G54*Premissas!$B$5+J54*Premissas!$B$6/12</f>
        <v/>
      </c>
      <c r="M54" s="12">
        <f>K54*INDEX(Premissas!$B$29:$F$29,1,B54)+INDEX(Premissas!$B$27:$F$27,1,B54)*Premissas!$B$15/12+INDEX(Premissas!$B$28:$F$28,1,B54)*Premissas!$B$16</f>
        <v/>
      </c>
      <c r="N54" s="12">
        <f>L54+M54</f>
        <v/>
      </c>
      <c r="O54" s="12">
        <f>L54*Premissas!$B$8</f>
        <v/>
      </c>
      <c r="P54" s="12">
        <f>N54*Premissas!$B$9</f>
        <v/>
      </c>
      <c r="Q54" s="12">
        <f>N54-O54-P54</f>
        <v/>
      </c>
      <c r="R54" s="12">
        <f>K54*Premissas!$B$14</f>
        <v/>
      </c>
      <c r="S54" s="12">
        <f>INDEX(Premissas!$B$22:$F$22,1,B54)</f>
        <v/>
      </c>
      <c r="T54" s="12">
        <f>INDEX(Premissas!$B$24:$F$24,1,B54)</f>
        <v/>
      </c>
      <c r="U54" s="12">
        <f>INDEX(Premissas!$B$25:$F$25,1,B54)</f>
        <v/>
      </c>
      <c r="V54" s="12">
        <f>INDEX(Premissas!$B$26:$F$26,1,B54)</f>
        <v/>
      </c>
      <c r="W54" s="12">
        <f>Q54-R54-S54-T54-U54-V54</f>
        <v/>
      </c>
      <c r="X54" s="12">
        <f>X53+W54</f>
        <v/>
      </c>
      <c r="Y54" s="12">
        <f>S54/MAX(S54/INDEX(Premissas!$B$21:$F$21,1,B54)*Premissas!$B$10*Premissas!$B$11,1)</f>
        <v/>
      </c>
    </row>
    <row r="55">
      <c r="A55" s="19" t="n">
        <v>54</v>
      </c>
      <c r="B55" s="19">
        <f>INT((A55-1)/12)+1</f>
        <v/>
      </c>
      <c r="C55" s="11">
        <f>INDEX(Premissas!$B$22:$F$22,1,B55)/INDEX(Premissas!$B$21:$F$21,1,B55)*(1+INDEX(Premissas!$B$23:$F$23,1,B55))</f>
        <v/>
      </c>
      <c r="D55" s="11">
        <f>C55*Premissas!$B$10*Premissas!$B$11</f>
        <v/>
      </c>
      <c r="E55" s="11">
        <f>D55*(1-Premissas!$B$7)</f>
        <v/>
      </c>
      <c r="F55" s="11">
        <f>D55*Premissas!$B$7</f>
        <v/>
      </c>
      <c r="G55" s="11">
        <f>G54*(1-Premissas!$B$12)+E55</f>
        <v/>
      </c>
      <c r="H55" s="11">
        <f>I43*Premissas!$B$13</f>
        <v/>
      </c>
      <c r="I55" s="11">
        <f>F55+H55</f>
        <v/>
      </c>
      <c r="J55" s="11">
        <f>SUM(I44:I55)</f>
        <v/>
      </c>
      <c r="K55" s="11">
        <f>G55+J55</f>
        <v/>
      </c>
      <c r="L55" s="12">
        <f>G55*Premissas!$B$5+J55*Premissas!$B$6/12</f>
        <v/>
      </c>
      <c r="M55" s="12">
        <f>K55*INDEX(Premissas!$B$29:$F$29,1,B55)+INDEX(Premissas!$B$27:$F$27,1,B55)*Premissas!$B$15/12+INDEX(Premissas!$B$28:$F$28,1,B55)*Premissas!$B$16</f>
        <v/>
      </c>
      <c r="N55" s="12">
        <f>L55+M55</f>
        <v/>
      </c>
      <c r="O55" s="12">
        <f>L55*Premissas!$B$8</f>
        <v/>
      </c>
      <c r="P55" s="12">
        <f>N55*Premissas!$B$9</f>
        <v/>
      </c>
      <c r="Q55" s="12">
        <f>N55-O55-P55</f>
        <v/>
      </c>
      <c r="R55" s="12">
        <f>K55*Premissas!$B$14</f>
        <v/>
      </c>
      <c r="S55" s="12">
        <f>INDEX(Premissas!$B$22:$F$22,1,B55)</f>
        <v/>
      </c>
      <c r="T55" s="12">
        <f>INDEX(Premissas!$B$24:$F$24,1,B55)</f>
        <v/>
      </c>
      <c r="U55" s="12">
        <f>INDEX(Premissas!$B$25:$F$25,1,B55)</f>
        <v/>
      </c>
      <c r="V55" s="12">
        <f>INDEX(Premissas!$B$26:$F$26,1,B55)</f>
        <v/>
      </c>
      <c r="W55" s="12">
        <f>Q55-R55-S55-T55-U55-V55</f>
        <v/>
      </c>
      <c r="X55" s="12">
        <f>X54+W55</f>
        <v/>
      </c>
      <c r="Y55" s="12">
        <f>S55/MAX(S55/INDEX(Premissas!$B$21:$F$21,1,B55)*Premissas!$B$10*Premissas!$B$11,1)</f>
        <v/>
      </c>
    </row>
    <row r="56">
      <c r="A56" s="19" t="n">
        <v>55</v>
      </c>
      <c r="B56" s="19">
        <f>INT((A56-1)/12)+1</f>
        <v/>
      </c>
      <c r="C56" s="11">
        <f>INDEX(Premissas!$B$22:$F$22,1,B56)/INDEX(Premissas!$B$21:$F$21,1,B56)*(1+INDEX(Premissas!$B$23:$F$23,1,B56))</f>
        <v/>
      </c>
      <c r="D56" s="11">
        <f>C56*Premissas!$B$10*Premissas!$B$11</f>
        <v/>
      </c>
      <c r="E56" s="11">
        <f>D56*(1-Premissas!$B$7)</f>
        <v/>
      </c>
      <c r="F56" s="11">
        <f>D56*Premissas!$B$7</f>
        <v/>
      </c>
      <c r="G56" s="11">
        <f>G55*(1-Premissas!$B$12)+E56</f>
        <v/>
      </c>
      <c r="H56" s="11">
        <f>I44*Premissas!$B$13</f>
        <v/>
      </c>
      <c r="I56" s="11">
        <f>F56+H56</f>
        <v/>
      </c>
      <c r="J56" s="11">
        <f>SUM(I45:I56)</f>
        <v/>
      </c>
      <c r="K56" s="11">
        <f>G56+J56</f>
        <v/>
      </c>
      <c r="L56" s="12">
        <f>G56*Premissas!$B$5+J56*Premissas!$B$6/12</f>
        <v/>
      </c>
      <c r="M56" s="12">
        <f>K56*INDEX(Premissas!$B$29:$F$29,1,B56)+INDEX(Premissas!$B$27:$F$27,1,B56)*Premissas!$B$15/12+INDEX(Premissas!$B$28:$F$28,1,B56)*Premissas!$B$16</f>
        <v/>
      </c>
      <c r="N56" s="12">
        <f>L56+M56</f>
        <v/>
      </c>
      <c r="O56" s="12">
        <f>L56*Premissas!$B$8</f>
        <v/>
      </c>
      <c r="P56" s="12">
        <f>N56*Premissas!$B$9</f>
        <v/>
      </c>
      <c r="Q56" s="12">
        <f>N56-O56-P56</f>
        <v/>
      </c>
      <c r="R56" s="12">
        <f>K56*Premissas!$B$14</f>
        <v/>
      </c>
      <c r="S56" s="12">
        <f>INDEX(Premissas!$B$22:$F$22,1,B56)</f>
        <v/>
      </c>
      <c r="T56" s="12">
        <f>INDEX(Premissas!$B$24:$F$24,1,B56)</f>
        <v/>
      </c>
      <c r="U56" s="12">
        <f>INDEX(Premissas!$B$25:$F$25,1,B56)</f>
        <v/>
      </c>
      <c r="V56" s="12">
        <f>INDEX(Premissas!$B$26:$F$26,1,B56)</f>
        <v/>
      </c>
      <c r="W56" s="12">
        <f>Q56-R56-S56-T56-U56-V56</f>
        <v/>
      </c>
      <c r="X56" s="12">
        <f>X55+W56</f>
        <v/>
      </c>
      <c r="Y56" s="12">
        <f>S56/MAX(S56/INDEX(Premissas!$B$21:$F$21,1,B56)*Premissas!$B$10*Premissas!$B$11,1)</f>
        <v/>
      </c>
    </row>
    <row r="57">
      <c r="A57" s="19" t="n">
        <v>56</v>
      </c>
      <c r="B57" s="19">
        <f>INT((A57-1)/12)+1</f>
        <v/>
      </c>
      <c r="C57" s="11">
        <f>INDEX(Premissas!$B$22:$F$22,1,B57)/INDEX(Premissas!$B$21:$F$21,1,B57)*(1+INDEX(Premissas!$B$23:$F$23,1,B57))</f>
        <v/>
      </c>
      <c r="D57" s="11">
        <f>C57*Premissas!$B$10*Premissas!$B$11</f>
        <v/>
      </c>
      <c r="E57" s="11">
        <f>D57*(1-Premissas!$B$7)</f>
        <v/>
      </c>
      <c r="F57" s="11">
        <f>D57*Premissas!$B$7</f>
        <v/>
      </c>
      <c r="G57" s="11">
        <f>G56*(1-Premissas!$B$12)+E57</f>
        <v/>
      </c>
      <c r="H57" s="11">
        <f>I45*Premissas!$B$13</f>
        <v/>
      </c>
      <c r="I57" s="11">
        <f>F57+H57</f>
        <v/>
      </c>
      <c r="J57" s="11">
        <f>SUM(I46:I57)</f>
        <v/>
      </c>
      <c r="K57" s="11">
        <f>G57+J57</f>
        <v/>
      </c>
      <c r="L57" s="12">
        <f>G57*Premissas!$B$5+J57*Premissas!$B$6/12</f>
        <v/>
      </c>
      <c r="M57" s="12">
        <f>K57*INDEX(Premissas!$B$29:$F$29,1,B57)+INDEX(Premissas!$B$27:$F$27,1,B57)*Premissas!$B$15/12+INDEX(Premissas!$B$28:$F$28,1,B57)*Premissas!$B$16</f>
        <v/>
      </c>
      <c r="N57" s="12">
        <f>L57+M57</f>
        <v/>
      </c>
      <c r="O57" s="12">
        <f>L57*Premissas!$B$8</f>
        <v/>
      </c>
      <c r="P57" s="12">
        <f>N57*Premissas!$B$9</f>
        <v/>
      </c>
      <c r="Q57" s="12">
        <f>N57-O57-P57</f>
        <v/>
      </c>
      <c r="R57" s="12">
        <f>K57*Premissas!$B$14</f>
        <v/>
      </c>
      <c r="S57" s="12">
        <f>INDEX(Premissas!$B$22:$F$22,1,B57)</f>
        <v/>
      </c>
      <c r="T57" s="12">
        <f>INDEX(Premissas!$B$24:$F$24,1,B57)</f>
        <v/>
      </c>
      <c r="U57" s="12">
        <f>INDEX(Premissas!$B$25:$F$25,1,B57)</f>
        <v/>
      </c>
      <c r="V57" s="12">
        <f>INDEX(Premissas!$B$26:$F$26,1,B57)</f>
        <v/>
      </c>
      <c r="W57" s="12">
        <f>Q57-R57-S57-T57-U57-V57</f>
        <v/>
      </c>
      <c r="X57" s="12">
        <f>X56+W57</f>
        <v/>
      </c>
      <c r="Y57" s="12">
        <f>S57/MAX(S57/INDEX(Premissas!$B$21:$F$21,1,B57)*Premissas!$B$10*Premissas!$B$11,1)</f>
        <v/>
      </c>
    </row>
    <row r="58">
      <c r="A58" s="19" t="n">
        <v>57</v>
      </c>
      <c r="B58" s="19">
        <f>INT((A58-1)/12)+1</f>
        <v/>
      </c>
      <c r="C58" s="11">
        <f>INDEX(Premissas!$B$22:$F$22,1,B58)/INDEX(Premissas!$B$21:$F$21,1,B58)*(1+INDEX(Premissas!$B$23:$F$23,1,B58))</f>
        <v/>
      </c>
      <c r="D58" s="11">
        <f>C58*Premissas!$B$10*Premissas!$B$11</f>
        <v/>
      </c>
      <c r="E58" s="11">
        <f>D58*(1-Premissas!$B$7)</f>
        <v/>
      </c>
      <c r="F58" s="11">
        <f>D58*Premissas!$B$7</f>
        <v/>
      </c>
      <c r="G58" s="11">
        <f>G57*(1-Premissas!$B$12)+E58</f>
        <v/>
      </c>
      <c r="H58" s="11">
        <f>I46*Premissas!$B$13</f>
        <v/>
      </c>
      <c r="I58" s="11">
        <f>F58+H58</f>
        <v/>
      </c>
      <c r="J58" s="11">
        <f>SUM(I47:I58)</f>
        <v/>
      </c>
      <c r="K58" s="11">
        <f>G58+J58</f>
        <v/>
      </c>
      <c r="L58" s="12">
        <f>G58*Premissas!$B$5+J58*Premissas!$B$6/12</f>
        <v/>
      </c>
      <c r="M58" s="12">
        <f>K58*INDEX(Premissas!$B$29:$F$29,1,B58)+INDEX(Premissas!$B$27:$F$27,1,B58)*Premissas!$B$15/12+INDEX(Premissas!$B$28:$F$28,1,B58)*Premissas!$B$16</f>
        <v/>
      </c>
      <c r="N58" s="12">
        <f>L58+M58</f>
        <v/>
      </c>
      <c r="O58" s="12">
        <f>L58*Premissas!$B$8</f>
        <v/>
      </c>
      <c r="P58" s="12">
        <f>N58*Premissas!$B$9</f>
        <v/>
      </c>
      <c r="Q58" s="12">
        <f>N58-O58-P58</f>
        <v/>
      </c>
      <c r="R58" s="12">
        <f>K58*Premissas!$B$14</f>
        <v/>
      </c>
      <c r="S58" s="12">
        <f>INDEX(Premissas!$B$22:$F$22,1,B58)</f>
        <v/>
      </c>
      <c r="T58" s="12">
        <f>INDEX(Premissas!$B$24:$F$24,1,B58)</f>
        <v/>
      </c>
      <c r="U58" s="12">
        <f>INDEX(Premissas!$B$25:$F$25,1,B58)</f>
        <v/>
      </c>
      <c r="V58" s="12">
        <f>INDEX(Premissas!$B$26:$F$26,1,B58)</f>
        <v/>
      </c>
      <c r="W58" s="12">
        <f>Q58-R58-S58-T58-U58-V58</f>
        <v/>
      </c>
      <c r="X58" s="12">
        <f>X57+W58</f>
        <v/>
      </c>
      <c r="Y58" s="12">
        <f>S58/MAX(S58/INDEX(Premissas!$B$21:$F$21,1,B58)*Premissas!$B$10*Premissas!$B$11,1)</f>
        <v/>
      </c>
    </row>
    <row r="59">
      <c r="A59" s="19" t="n">
        <v>58</v>
      </c>
      <c r="B59" s="19">
        <f>INT((A59-1)/12)+1</f>
        <v/>
      </c>
      <c r="C59" s="11">
        <f>INDEX(Premissas!$B$22:$F$22,1,B59)/INDEX(Premissas!$B$21:$F$21,1,B59)*(1+INDEX(Premissas!$B$23:$F$23,1,B59))</f>
        <v/>
      </c>
      <c r="D59" s="11">
        <f>C59*Premissas!$B$10*Premissas!$B$11</f>
        <v/>
      </c>
      <c r="E59" s="11">
        <f>D59*(1-Premissas!$B$7)</f>
        <v/>
      </c>
      <c r="F59" s="11">
        <f>D59*Premissas!$B$7</f>
        <v/>
      </c>
      <c r="G59" s="11">
        <f>G58*(1-Premissas!$B$12)+E59</f>
        <v/>
      </c>
      <c r="H59" s="11">
        <f>I47*Premissas!$B$13</f>
        <v/>
      </c>
      <c r="I59" s="11">
        <f>F59+H59</f>
        <v/>
      </c>
      <c r="J59" s="11">
        <f>SUM(I48:I59)</f>
        <v/>
      </c>
      <c r="K59" s="11">
        <f>G59+J59</f>
        <v/>
      </c>
      <c r="L59" s="12">
        <f>G59*Premissas!$B$5+J59*Premissas!$B$6/12</f>
        <v/>
      </c>
      <c r="M59" s="12">
        <f>K59*INDEX(Premissas!$B$29:$F$29,1,B59)+INDEX(Premissas!$B$27:$F$27,1,B59)*Premissas!$B$15/12+INDEX(Premissas!$B$28:$F$28,1,B59)*Premissas!$B$16</f>
        <v/>
      </c>
      <c r="N59" s="12">
        <f>L59+M59</f>
        <v/>
      </c>
      <c r="O59" s="12">
        <f>L59*Premissas!$B$8</f>
        <v/>
      </c>
      <c r="P59" s="12">
        <f>N59*Premissas!$B$9</f>
        <v/>
      </c>
      <c r="Q59" s="12">
        <f>N59-O59-P59</f>
        <v/>
      </c>
      <c r="R59" s="12">
        <f>K59*Premissas!$B$14</f>
        <v/>
      </c>
      <c r="S59" s="12">
        <f>INDEX(Premissas!$B$22:$F$22,1,B59)</f>
        <v/>
      </c>
      <c r="T59" s="12">
        <f>INDEX(Premissas!$B$24:$F$24,1,B59)</f>
        <v/>
      </c>
      <c r="U59" s="12">
        <f>INDEX(Premissas!$B$25:$F$25,1,B59)</f>
        <v/>
      </c>
      <c r="V59" s="12">
        <f>INDEX(Premissas!$B$26:$F$26,1,B59)</f>
        <v/>
      </c>
      <c r="W59" s="12">
        <f>Q59-R59-S59-T59-U59-V59</f>
        <v/>
      </c>
      <c r="X59" s="12">
        <f>X58+W59</f>
        <v/>
      </c>
      <c r="Y59" s="12">
        <f>S59/MAX(S59/INDEX(Premissas!$B$21:$F$21,1,B59)*Premissas!$B$10*Premissas!$B$11,1)</f>
        <v/>
      </c>
    </row>
    <row r="60">
      <c r="A60" s="19" t="n">
        <v>59</v>
      </c>
      <c r="B60" s="19">
        <f>INT((A60-1)/12)+1</f>
        <v/>
      </c>
      <c r="C60" s="11">
        <f>INDEX(Premissas!$B$22:$F$22,1,B60)/INDEX(Premissas!$B$21:$F$21,1,B60)*(1+INDEX(Premissas!$B$23:$F$23,1,B60))</f>
        <v/>
      </c>
      <c r="D60" s="11">
        <f>C60*Premissas!$B$10*Premissas!$B$11</f>
        <v/>
      </c>
      <c r="E60" s="11">
        <f>D60*(1-Premissas!$B$7)</f>
        <v/>
      </c>
      <c r="F60" s="11">
        <f>D60*Premissas!$B$7</f>
        <v/>
      </c>
      <c r="G60" s="11">
        <f>G59*(1-Premissas!$B$12)+E60</f>
        <v/>
      </c>
      <c r="H60" s="11">
        <f>I48*Premissas!$B$13</f>
        <v/>
      </c>
      <c r="I60" s="11">
        <f>F60+H60</f>
        <v/>
      </c>
      <c r="J60" s="11">
        <f>SUM(I49:I60)</f>
        <v/>
      </c>
      <c r="K60" s="11">
        <f>G60+J60</f>
        <v/>
      </c>
      <c r="L60" s="12">
        <f>G60*Premissas!$B$5+J60*Premissas!$B$6/12</f>
        <v/>
      </c>
      <c r="M60" s="12">
        <f>K60*INDEX(Premissas!$B$29:$F$29,1,B60)+INDEX(Premissas!$B$27:$F$27,1,B60)*Premissas!$B$15/12+INDEX(Premissas!$B$28:$F$28,1,B60)*Premissas!$B$16</f>
        <v/>
      </c>
      <c r="N60" s="12">
        <f>L60+M60</f>
        <v/>
      </c>
      <c r="O60" s="12">
        <f>L60*Premissas!$B$8</f>
        <v/>
      </c>
      <c r="P60" s="12">
        <f>N60*Premissas!$B$9</f>
        <v/>
      </c>
      <c r="Q60" s="12">
        <f>N60-O60-P60</f>
        <v/>
      </c>
      <c r="R60" s="12">
        <f>K60*Premissas!$B$14</f>
        <v/>
      </c>
      <c r="S60" s="12">
        <f>INDEX(Premissas!$B$22:$F$22,1,B60)</f>
        <v/>
      </c>
      <c r="T60" s="12">
        <f>INDEX(Premissas!$B$24:$F$24,1,B60)</f>
        <v/>
      </c>
      <c r="U60" s="12">
        <f>INDEX(Premissas!$B$25:$F$25,1,B60)</f>
        <v/>
      </c>
      <c r="V60" s="12">
        <f>INDEX(Premissas!$B$26:$F$26,1,B60)</f>
        <v/>
      </c>
      <c r="W60" s="12">
        <f>Q60-R60-S60-T60-U60-V60</f>
        <v/>
      </c>
      <c r="X60" s="12">
        <f>X59+W60</f>
        <v/>
      </c>
      <c r="Y60" s="12">
        <f>S60/MAX(S60/INDEX(Premissas!$B$21:$F$21,1,B60)*Premissas!$B$10*Premissas!$B$11,1)</f>
        <v/>
      </c>
    </row>
    <row r="61">
      <c r="A61" s="20" t="n">
        <v>60</v>
      </c>
      <c r="B61" s="20">
        <f>INT((A61-1)/12)+1</f>
        <v/>
      </c>
      <c r="C61" s="21">
        <f>INDEX(Premissas!$B$22:$F$22,1,B61)/INDEX(Premissas!$B$21:$F$21,1,B61)*(1+INDEX(Premissas!$B$23:$F$23,1,B61))</f>
        <v/>
      </c>
      <c r="D61" s="21">
        <f>C61*Premissas!$B$10*Premissas!$B$11</f>
        <v/>
      </c>
      <c r="E61" s="21">
        <f>D61*(1-Premissas!$B$7)</f>
        <v/>
      </c>
      <c r="F61" s="21">
        <f>D61*Premissas!$B$7</f>
        <v/>
      </c>
      <c r="G61" s="21">
        <f>G60*(1-Premissas!$B$12)+E61</f>
        <v/>
      </c>
      <c r="H61" s="21">
        <f>I49*Premissas!$B$13</f>
        <v/>
      </c>
      <c r="I61" s="21">
        <f>F61+H61</f>
        <v/>
      </c>
      <c r="J61" s="21">
        <f>SUM(I50:I61)</f>
        <v/>
      </c>
      <c r="K61" s="21">
        <f>G61+J61</f>
        <v/>
      </c>
      <c r="L61" s="22">
        <f>G61*Premissas!$B$5+J61*Premissas!$B$6/12</f>
        <v/>
      </c>
      <c r="M61" s="22">
        <f>K61*INDEX(Premissas!$B$29:$F$29,1,B61)+INDEX(Premissas!$B$27:$F$27,1,B61)*Premissas!$B$15/12+INDEX(Premissas!$B$28:$F$28,1,B61)*Premissas!$B$16</f>
        <v/>
      </c>
      <c r="N61" s="22">
        <f>L61+M61</f>
        <v/>
      </c>
      <c r="O61" s="22">
        <f>L61*Premissas!$B$8</f>
        <v/>
      </c>
      <c r="P61" s="22">
        <f>N61*Premissas!$B$9</f>
        <v/>
      </c>
      <c r="Q61" s="22">
        <f>N61-O61-P61</f>
        <v/>
      </c>
      <c r="R61" s="22">
        <f>K61*Premissas!$B$14</f>
        <v/>
      </c>
      <c r="S61" s="22">
        <f>INDEX(Premissas!$B$22:$F$22,1,B61)</f>
        <v/>
      </c>
      <c r="T61" s="22">
        <f>INDEX(Premissas!$B$24:$F$24,1,B61)</f>
        <v/>
      </c>
      <c r="U61" s="22">
        <f>INDEX(Premissas!$B$25:$F$25,1,B61)</f>
        <v/>
      </c>
      <c r="V61" s="22">
        <f>INDEX(Premissas!$B$26:$F$26,1,B61)</f>
        <v/>
      </c>
      <c r="W61" s="22">
        <f>Q61-R61-S61-T61-U61-V61</f>
        <v/>
      </c>
      <c r="X61" s="22">
        <f>X60+W61</f>
        <v/>
      </c>
      <c r="Y61" s="22">
        <f>S61/MAX(S61/INDEX(Premissas!$B$21:$F$21,1,B61)*Premissas!$B$10*Premissas!$B$11,1)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0" t="inlineStr">
        <is>
          <t>Cenários (calculados por business-plan/model.py)</t>
        </is>
      </c>
    </row>
    <row r="3">
      <c r="A3" s="3" t="inlineStr">
        <is>
          <t>Indicador</t>
        </is>
      </c>
      <c r="B3" s="3" t="inlineStr">
        <is>
          <t>Conservador</t>
        </is>
      </c>
      <c r="C3" s="3" t="inlineStr">
        <is>
          <t>Base</t>
        </is>
      </c>
      <c r="D3" s="3" t="inlineStr">
        <is>
          <t>Otimista</t>
        </is>
      </c>
    </row>
    <row r="4">
      <c r="A4" t="inlineStr">
        <is>
          <t>Assinantes ativos — ano 5</t>
        </is>
      </c>
      <c r="B4" s="11" t="n">
        <v>69589.07875601403</v>
      </c>
      <c r="C4" s="11" t="n">
        <v>125827.5319593116</v>
      </c>
      <c r="D4" s="11" t="n">
        <v>195912.4855616659</v>
      </c>
    </row>
    <row r="5">
      <c r="A5" t="inlineStr">
        <is>
          <t>Receita bruta — ano 5</t>
        </is>
      </c>
      <c r="B5" s="12" t="n">
        <v>16389355.68217115</v>
      </c>
      <c r="C5" s="12" t="n">
        <v>28209674.22390167</v>
      </c>
      <c r="D5" s="12" t="n">
        <v>42967351.77360884</v>
      </c>
    </row>
    <row r="6">
      <c r="A6" t="inlineStr">
        <is>
          <t>EBITDA — ano 3</t>
        </is>
      </c>
      <c r="B6" s="12" t="n">
        <v>-870059.7198841823</v>
      </c>
      <c r="C6" s="12" t="n">
        <v>1962596.161974069</v>
      </c>
      <c r="D6" s="12" t="n">
        <v>5238828.037027083</v>
      </c>
    </row>
    <row r="7">
      <c r="A7" t="inlineStr">
        <is>
          <t>EBITDA — ano 5</t>
        </is>
      </c>
      <c r="B7" s="12" t="n">
        <v>952365.7810186881</v>
      </c>
      <c r="C7" s="12" t="n">
        <v>9492488.293101199</v>
      </c>
      <c r="D7" s="12" t="n">
        <v>20170546.65397828</v>
      </c>
    </row>
    <row r="8">
      <c r="A8" t="inlineStr">
        <is>
          <t>Necessidade de caixa</t>
        </is>
      </c>
      <c r="B8" s="12" t="n">
        <v>2759356.228857173</v>
      </c>
      <c r="C8" s="12" t="n">
        <v>607585.6501719453</v>
      </c>
      <c r="D8" s="12" t="n">
        <v>211463.5253536763</v>
      </c>
    </row>
    <row r="9">
      <c r="A9" t="inlineStr">
        <is>
          <t>Mês de EBITDA positivo (a partir do ano 2)</t>
        </is>
      </c>
      <c r="B9" s="19" t="n">
        <v>35</v>
      </c>
      <c r="C9" s="19" t="n">
        <v>19</v>
      </c>
      <c r="D9" s="19" t="n">
        <v>16</v>
      </c>
    </row>
    <row r="10">
      <c r="A10" t="inlineStr">
        <is>
          <t>LTV por assinante</t>
        </is>
      </c>
      <c r="B10" s="15" t="n">
        <v>172.16969</v>
      </c>
      <c r="C10" s="15" t="n">
        <v>205.0420974358974</v>
      </c>
      <c r="D10" s="15" t="n">
        <v>249.508791919192</v>
      </c>
    </row>
    <row r="12">
      <c r="A12" s="2" t="inlineStr">
        <is>
          <t>Conservador: teste→pago 25%, churn 16%, renovação 25%. Otimista: 55%, 9%, 45%. Demais premissas iguais à 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36" customWidth="1" min="2" max="2"/>
    <col width="60" customWidth="1" min="3" max="3"/>
  </cols>
  <sheetData>
    <row r="1">
      <c r="A1" s="3" t="inlineStr">
        <is>
          <t>Dado</t>
        </is>
      </c>
      <c r="B1" s="3" t="inlineStr">
        <is>
          <t>Fonte</t>
        </is>
      </c>
      <c r="C1" s="3" t="inlineStr">
        <is>
          <t>Link</t>
        </is>
      </c>
    </row>
    <row r="2">
      <c r="A2" t="inlineStr">
        <is>
          <t>Mercado de beleza BR ~R$ 200 bi (2025); 3º maior do mundo</t>
        </is>
      </c>
      <c r="B2" t="inlineStr">
        <is>
          <t>ABIHPEC</t>
        </is>
      </c>
      <c r="C2" t="inlineStr">
        <is>
          <t>https://abihpec.org.br/tamanho-mercado-cosmeticos-brasil-2026/</t>
        </is>
      </c>
    </row>
    <row r="3">
      <c r="A3" t="inlineStr">
        <is>
          <t>Beleza BR R$ 186,9 bi em 2025, +6,8%</t>
        </is>
      </c>
      <c r="B3" t="inlineStr">
        <is>
          <t>Euromonitor via Folha do Litoral</t>
        </is>
      </c>
      <c r="C3" t="inlineStr">
        <is>
          <t>https://folhadolitoral.com.br/editorias/economia/mercado-de-beleza-no-brasil-cresce-em-2025/</t>
        </is>
      </c>
    </row>
    <row r="4">
      <c r="A4" t="inlineStr">
        <is>
          <t>Dermocosméticos R$ 12,3 bi (12m até jul/25), +8,3%; 83% em loja física</t>
        </is>
      </c>
      <c r="B4" t="inlineStr">
        <is>
          <t>IQVIA via Panorama Farmacêutico</t>
        </is>
      </c>
      <c r="C4" t="inlineStr">
        <is>
          <t>https://panoramafarmaceutico.com.br/mercado-de-dermocosmeticos-movimenta-r-123-bilhoes/</t>
        </is>
      </c>
    </row>
    <row r="5">
      <c r="A5" t="inlineStr">
        <is>
          <t>Apps de análise de pele US$ 1,82 bi (2025), CAGR 17,2% até 2036</t>
        </is>
      </c>
      <c r="B5" t="inlineStr">
        <is>
          <t>Future Market Insights</t>
        </is>
      </c>
      <c r="C5" t="inlineStr">
        <is>
          <t>https://www.futuremarketinsights.com/reports/skin-analysis-mobile-apps-market</t>
        </is>
      </c>
    </row>
    <row r="6">
      <c r="A6" t="inlineStr">
        <is>
          <t>88% das mulheres e 64% dos homens usam skincare</t>
        </is>
      </c>
      <c r="B6" t="inlineStr">
        <is>
          <t>MindMiners (2024) via O Hoje</t>
        </is>
      </c>
      <c r="C6" t="inlineStr">
        <is>
          <t>https://ohoje.com/2025/02/27/skincare-o-novo-vicio-dos-brasileiros/</t>
        </is>
      </c>
    </row>
    <row r="7">
      <c r="A7" t="inlineStr">
        <is>
          <t>23% usam assistentes de IA para escolher beleza; influenciadores 32% da descoberta</t>
        </is>
      </c>
      <c r="B7" t="inlineStr">
        <is>
          <t>Mercado &amp; Consumo (out/2026)</t>
        </is>
      </c>
      <c r="C7" t="inlineStr">
        <is>
          <t>https://mercadoeconsumo.com.br/07/10/2026/noticias-varejo/seis-em-cada-dez-brasileiros-gastam-mais-de-r-100-por-mes-com-beleza/</t>
        </is>
      </c>
    </row>
    <row r="8">
      <c r="A8" t="inlineStr">
        <is>
          <t>Teste→pago mediana Saúde &amp; Fitness 39,9%; 2x maior no iOS</t>
        </is>
      </c>
      <c r="B8" t="inlineStr">
        <is>
          <t>RevenueCat — State of Subscription Apps 2025</t>
        </is>
      </c>
      <c r="C8" t="inlineStr">
        <is>
          <t>https://revenuecat.com/state-of-subscription-apps-2025</t>
        </is>
      </c>
    </row>
    <row r="9">
      <c r="A9" t="inlineStr">
        <is>
          <t>Cal AI: ~US$ 30 mi ARR, adquirido pela MyFitnessPal (2025/26)</t>
        </is>
      </c>
      <c r="B9" t="inlineStr">
        <is>
          <t>Imprensa (não auditado)</t>
        </is>
      </c>
      <c r="C9" t="inlineStr">
        <is>
          <t>https://neuronfeed.com/startups/cal-ai</t>
        </is>
      </c>
    </row>
    <row r="10">
      <c r="A10" t="inlineStr">
        <is>
          <t>Skan: soft paywall, anual US$ 24,99–39,99</t>
        </is>
      </c>
      <c r="B10" t="inlineStr">
        <is>
          <t>App Store / AppPricingLab</t>
        </is>
      </c>
      <c r="C10" t="inlineStr">
        <is>
          <t>https://apppricinglab.com/app/apple/6449196562</t>
        </is>
      </c>
    </row>
    <row r="11">
      <c r="A11" t="inlineStr">
        <is>
          <t>Meta repassa 12,15% de impostos ao anunciante no BR</t>
        </is>
      </c>
      <c r="B11" t="inlineStr">
        <is>
          <t>Tecnoblog</t>
        </is>
      </c>
      <c r="C11" t="inlineStr">
        <is>
          <t>https://tecnoblog.net/noticias/meta-decide-repassar-os-custos-com-impostos-no-brasil-para-os-anunciantes/</t>
        </is>
      </c>
    </row>
    <row r="12">
      <c r="A12" t="inlineStr">
        <is>
          <t>Beautytechs BR: B4A captou R$ 15 mi; UAUBox seed R$ 6 mi</t>
        </is>
      </c>
      <c r="B12" t="inlineStr">
        <is>
          <t>Startupi / Startups</t>
        </is>
      </c>
      <c r="C12" t="inlineStr">
        <is>
          <t>https://startupi.com.br/b4a-capta-r-15-milhoes-para-expandir-parcerias/</t>
        </is>
      </c>
    </row>
    <row r="13">
      <c r="A13" t="inlineStr">
        <is>
          <t>216 reviews de 9 apps concorrentes (dores e pedidos)</t>
        </is>
      </c>
      <c r="B13" t="inlineStr">
        <is>
          <t>Pesquisa própria</t>
        </is>
      </c>
      <c r="C13" t="inlineStr">
        <is>
          <t>replica/fixes.md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2026-10-09T19:36:44Z</dcterms:created>
  <dcterms:modified xmlns:dcterms="http://purl.org/dc/terms/" xmlns:xsi="http://www.w3.org/2001/XMLSchema-instance" xsi:type="dcterms:W3CDTF">2026-10-09T19:36:44Z</dcterms:modified>
</cp:coreProperties>
</file>